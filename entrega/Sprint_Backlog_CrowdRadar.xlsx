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acfd8911e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Sprint" sheetId="1" r:id="R84783f4632c94e99"/>
    <x:sheet xmlns:r="http://schemas.openxmlformats.org/officeDocument/2006/relationships" name="Sprint Backlog" sheetId="2" r:id="Rad2619ef5ad14a84"/>
    <x:sheet xmlns:r="http://schemas.openxmlformats.org/officeDocument/2006/relationships" name="Evidencias" sheetId="3" r:id="Rab2f6f6778644c2b"/>
  </x:sheets>
</x:workbook>
</file>

<file path=xl/sharedStrings.xml><?xml version="1.0" encoding="utf-8"?>
<x:sst xmlns:x="http://schemas.openxmlformats.org/spreadsheetml/2006/main">
  <x:si>
    <x:t xml:space="preserve">Planeamiento del Sprint 1</x:t>
  </x:si>
  <x:si>
    <x:t xml:space="preserve">Proyecto</x:t>
  </x:si>
  <x:si>
    <x:t xml:space="preserve">CrowdRadar</x:t>
  </x:si>
  <x:si>
    <x:t xml:space="preserve">Criterio de estado</x:t>
  </x:si>
  <x:si>
    <x:t xml:space="preserve">Uso</x:t>
  </x:si>
  <x:si>
    <x:t xml:space="preserve">Sprint</x:t>
  </x:si>
  <x:si>
    <x:t xml:space="preserve">Sprint 1 - Gestionar Cuenta Personal</x:t>
  </x:si>
  <x:si>
    <x:t xml:space="preserve">Completada</x:t>
  </x:si>
  <x:si>
    <x:t xml:space="preserve">La tarea específica tiene una prueba ejecutada y aprobada.</x:t>
  </x:si>
  <x:si>
    <x:t xml:space="preserve">Duración</x:t>
  </x:si>
  <x:si>
    <x:t xml:space="preserve">2 semanas (semanas 1-2 del Release 01)</x:t>
  </x:si>
  <x:si>
    <x:t xml:space="preserve">En revisión</x:t>
  </x:si>
  <x:si>
    <x:t xml:space="preserve">Hay implementación o prueba parcial, pero falta verificación completa.</x:t>
  </x:si>
  <x:si>
    <x:t xml:space="preserve">Objetivo</x:t>
  </x:si>
  <x:si>
    <x:t xml:space="preserve">Implementar las funcionalidades de gestión de la cuenta personal para permitir el registro, la autenticación y la administración del perfil de los usuarios dentro del aplicativo.</x:t>
  </x:si>
  <x:si>
    <x:t xml:space="preserve">Pendiente</x:t>
  </x:si>
  <x:si>
    <x:t xml:space="preserve">No se encontró implementación suficiente.</x:t>
  </x:si>
  <x:si>
    <x:t xml:space="preserve">Historias seleccionadas</x:t>
  </x:si>
  <x:si>
    <x:t xml:space="preserve">1.1 Iniciar sesión; 1.2 Registrar ciudadano; 1.3 Visualizar perfil; 1.4 Actualizar perfil</x:t>
  </x:si>
  <x:si>
    <x:t xml:space="preserve">Bloqueada</x:t>
  </x:si>
  <x:si>
    <x:t xml:space="preserve">La verificación depende de una herramienta o credencial no disponible.</x:t>
  </x:si>
  <x:si>
    <x:t xml:space="preserve">Apoyo actual</x:t>
  </x:si>
  <x:si>
    <x:t xml:space="preserve">Rael Chang - integración, verificación y preparación de la entrega</x:t>
  </x:si>
  <x:si>
    <x:t xml:space="preserve">Fuente principal</x:t>
  </x:si>
  <x:si>
    <x:t xml:space="preserve">Grupo 04 - Informe (1).pdf: roles, Release 01, Sprint 1 y Anexo A.</x:t>
  </x:si>
  <x:si>
    <x:t xml:space="preserve">Seguimiento</x:t>
  </x:si>
  <x:si>
    <x:t xml:space="preserve">Resultado</x:t>
  </x:si>
  <x:si>
    <x:t xml:space="preserve">Backlog fuente</x:t>
  </x:si>
  <x:si>
    <x:t xml:space="preserve">Google Sheet Historias de Usuario, pestaña Sprint1, enlazada desde el PDF.</x:t>
  </x:si>
  <x:si>
    <x:t xml:space="preserve">Cantidad total de tareas</x:t>
  </x:si>
  <x:si>
    <x:t xml:space="preserve">Corte de verificación</x:t>
  </x:si>
  <x:si>
    <x:t xml:space="preserve">Tareas completadas</x:t>
  </x:si>
  <x:si>
    <x:t xml:space="preserve">Tareas en revisión</x:t>
  </x:si>
  <x:si>
    <x:t xml:space="preserve">Tareas pendientes</x:t>
  </x:si>
  <x:si>
    <x:t xml:space="preserve">Tareas bloqueadas</x:t>
  </x:si>
  <x:si>
    <x:t xml:space="preserve">Porcentaje de avance</x:t>
  </x:si>
  <x:si>
    <x:t xml:space="preserve">Sprint Backlog - CrowdRadar</x:t>
  </x:si>
  <x:si>
    <x:t xml:space="preserve">Fuente: PDF del grupo y Google Sheet 'Historias de Usuario' / pestaña Sprint1. Estimación en horas. Estados al 20/09/2026.</x:t>
  </x:si>
  <x:si>
    <x:t xml:space="preserve">ID de historia</x:t>
  </x:si>
  <x:si>
    <x:t xml:space="preserve">Historia de usuario</x:t>
  </x:si>
  <x:si>
    <x:t xml:space="preserve">Criterio de aceptación</x:t>
  </x:si>
  <x:si>
    <x:t xml:space="preserve">ID de tarea</x:t>
  </x:si>
  <x:si>
    <x:t xml:space="preserve">Tarea</x:t>
  </x:si>
  <x:si>
    <x:t xml:space="preserve">Descripción</x:t>
  </x:si>
  <x:si>
    <x:t xml:space="preserve">Área</x:t>
  </x:si>
  <x:si>
    <x:t xml:space="preserve">Responsable</x:t>
  </x:si>
  <x:si>
    <x:t xml:space="preserve">Prioridad</x:t>
  </x:si>
  <x:si>
    <x:t xml:space="preserve">Estimación</x:t>
  </x:si>
  <x:si>
    <x:t xml:space="preserve">Dependencia</x:t>
  </x:si>
  <x:si>
    <x:t xml:space="preserve">Estado</x:t>
  </x:si>
  <x:si>
    <x:t xml:space="preserve">Evidencia</x:t>
  </x:si>
  <x:si>
    <x:t xml:space="preserve">Observaciones</x:t>
  </x:si>
  <x:si>
    <x:t xml:space="preserve">1.1</x:t>
  </x:si>
  <x:si>
    <x:t xml:space="preserve">Como usuario registrado, quiero iniciar sesión para acceder a mi cuenta.</x:t>
  </x:si>
  <x:si>
    <x:t xml:space="preserve">Credenciales válidas permiten el acceso y redirigen a la pantalla principal.
Una contraseña incorrecta muestra un error y deniega el acceso.
Un correo no registrado informa que la cuenta no existe.
Una sesión iniciada correctamente habilita funcionalidades protegidas.</x:t>
  </x:si>
  <x:si>
    <x:t xml:space="preserve">T1.1-01</x:t>
  </x:si>
  <x:si>
    <x:t xml:space="preserve">Diseñar pantalla de inicio de sesión</x:t>
  </x:si>
  <x:si>
    <x:t xml:space="preserve">Crear la interfaz con campos de correo electrónico y contraseña.</x:t>
  </x:si>
  <x:si>
    <x:t xml:space="preserve">Frontend</x:t>
  </x:si>
  <x:si>
    <x:t xml:space="preserve">Luciana Emma Caceres Velazco</x:t>
  </x:si>
  <x:si>
    <x:t xml:space="preserve">Media</x:t>
  </x:si>
  <x:si>
    <x:t xml:space="preserve">Ninguna</x:t>
  </x:si>
  <x:si>
    <x:t xml:space="preserve">CrowdRadar-FrontEnd/lib/pages/login/login_page.dart</x:t>
  </x:si>
  <x:si>
    <x:t xml:space="preserve">Implementación localizada; requiere flutter test y flutter run.</x:t>
  </x:si>
  <x:si>
    <x:t xml:space="preserve">T1.1-02</x:t>
  </x:si>
  <x:si>
    <x:t xml:space="preserve">Implementar formulario de autenticación</x:t>
  </x:si>
  <x:si>
    <x:t xml:space="preserve">Capturar y enviar las credenciales al servicio de autenticación.</x:t>
  </x:si>
  <x:si>
    <x:t xml:space="preserve">Alta</x:t>
  </x:si>
  <x:si>
    <x:t xml:space="preserve">CrowdRadar-FrontEnd/lib/pages/login/login_page.dart; CrowdRadar-FrontEnd/lib/services/auth_service.dart</x:t>
  </x:si>
  <x:si>
    <x:t xml:space="preserve">Revisión estática; Flutter no está disponible.</x:t>
  </x:si>
  <x:si>
    <x:t xml:space="preserve">T1.1-03</x:t>
  </x:si>
  <x:si>
    <x:t xml:space="preserve">Validar campos obligatorios</x:t>
  </x:si>
  <x:si>
    <x:t xml:space="preserve">Validar los datos requeridos antes de procesar la autenticación.</x:t>
  </x:si>
  <x:si>
    <x:t xml:space="preserve">Julio Cesar Teran Linares</x:t>
  </x:si>
  <x:si>
    <x:t xml:space="preserve">Validadores presentes; no ejecutados sin Flutter.</x:t>
  </x:si>
  <x:si>
    <x:t xml:space="preserve">T1.1-04</x:t>
  </x:si>
  <x:si>
    <x:t xml:space="preserve">Crear endpoint de autenticación</x:t>
  </x:si>
  <x:si>
    <x:t xml:space="preserve">Verificar credenciales y gestionar la autenticación mediante REST.</x:t>
  </x:si>
  <x:si>
    <x:t xml:space="preserve">Backend</x:t>
  </x:si>
  <x:si>
    <x:t xml:space="preserve">Registro de usuario</x:t>
  </x:si>
  <x:si>
    <x:t xml:space="preserve">CrowdRadar-Backend/src/routes/auth.routes.js; CrowdRadar-Backend/src/controllers/AuthController.js; CrowdRadar-Backend/src/services/AuthService.js; CrowdRadar-Backend/test/sprint1.test.js; entrega/evidencias/backend-tests.txt</x:t>
  </x:si>
  <x:si>
    <x:t xml:space="preserve">Ruta real comprobada con credenciales válidas e inválidas y repositorio en memoria.</x:t>
  </x:si>
  <x:si>
    <x:t xml:space="preserve">T1.1-05</x:t>
  </x:si>
  <x:si>
    <x:t xml:space="preserve">Implementar generación de JWT</x:t>
  </x:si>
  <x:si>
    <x:t xml:space="preserve">Cifrar contraseñas y administrar tokens JWT para sesiones protegidas.</x:t>
  </x:si>
  <x:si>
    <x:t xml:space="preserve">Walter Sebastian Melendez Julca</x:t>
  </x:si>
  <x:si>
    <x:t xml:space="preserve">CrowdRadar-Backend/src/utils/jwt.js; CrowdRadar-Backend/test/sprint1.test.js; entrega/evidencias/backend-tests.txt</x:t>
  </x:si>
  <x:si>
    <x:t xml:space="preserve">JWT y bcrypt comprobados por pruebas automatizadas.</x:t>
  </x:si>
  <x:si>
    <x:t xml:space="preserve">T1.1-06</x:t>
  </x:si>
  <x:si>
    <x:t xml:space="preserve">Integrar frontend y backend</x:t>
  </x:si>
  <x:si>
    <x:t xml:space="preserve">Conectar la interfaz de autenticación con el backend mediante HTTP.</x:t>
  </x:si>
  <x:si>
    <x:t xml:space="preserve">Integración</x:t>
  </x:si>
  <x:si>
    <x:t xml:space="preserve">Walter Sebastian Melendez Julca; Rael Chang (apoyo actual)</x:t>
  </x:si>
  <x:si>
    <x:t xml:space="preserve">T1.1-02, T1.1-04, T1.1-05</x:t>
  </x:si>
  <x:si>
    <x:t xml:space="preserve">CrowdRadar-FrontEnd/lib/services; CrowdRadar-FrontEnd/lib/configs/api_config.dart</x:t>
  </x:si>
  <x:si>
    <x:t xml:space="preserve">Faltan Flutter/Android SDK y un .env PostgreSQL válido para la prueba extremo a extremo.</x:t>
  </x:si>
  <x:si>
    <x:t xml:space="preserve">T1.1-07</x:t>
  </x:si>
  <x:si>
    <x:t xml:space="preserve">Realizar pruebas de autenticación</x:t>
  </x:si>
  <x:si>
    <x:t xml:space="preserve">Verificar escenarios de autenticación válidos e inválidos.</x:t>
  </x:si>
  <x:si>
    <x:t xml:space="preserve">QA</x:t>
  </x:si>
  <x:si>
    <x:t xml:space="preserve">CrowdRadar-Backend/test/sprint1.test.js; entrega/evidencias/backend-tests.txt</x:t>
  </x:si>
  <x:si>
    <x:t xml:space="preserve">Backend aprobado; falta prueba Flutter y E2E con PostgreSQL.</x:t>
  </x:si>
  <x:si>
    <x:t xml:space="preserve">1.2</x:t>
  </x:si>
  <x:si>
    <x:t xml:space="preserve">Como ciudadano de Lima, quiero registrarme en CrowdRadar para acceder a las funcionalidades del aplicativo.</x:t>
  </x:si>
  <x:si>
    <x:t xml:space="preserve">Datos válidos crean la cuenta y muestran confirmación.
Un correo ya registrado impide el registro y muestra un mensaje.
La omisión de campos obligatorios muestra validaciones e impide el registro.</x:t>
  </x:si>
  <x:si>
    <x:t xml:space="preserve">T1.2-01</x:t>
  </x:si>
  <x:si>
    <x:t xml:space="preserve">Diseñar pantalla de registro</x:t>
  </x:si>
  <x:si>
    <x:t xml:space="preserve">Diseñar la interfaz para registrar ciudadanos en CrowdRadar.</x:t>
  </x:si>
  <x:si>
    <x:t xml:space="preserve">CrowdRadar-FrontEnd/lib/pages/register/register_page.dart</x:t>
  </x:si>
  <x:si>
    <x:t xml:space="preserve">T1.2-02</x:t>
  </x:si>
  <x:si>
    <x:t xml:space="preserve">Implementar formulario de registro</x:t>
  </x:si>
  <x:si>
    <x:t xml:space="preserve">Capturar la información requerida para crear una cuenta.</x:t>
  </x:si>
  <x:si>
    <x:t xml:space="preserve">CrowdRadar-FrontEnd/lib/pages/register/register_page.dart; CrowdRadar-FrontEnd/lib/services/auth_service.dart</x:t>
  </x:si>
  <x:si>
    <x:t xml:space="preserve">T1.2-03</x:t>
  </x:si>
  <x:si>
    <x:t xml:space="preserve">Validar completitud y consistencia de los datos antes del registro.</x:t>
  </x:si>
  <x:si>
    <x:t xml:space="preserve">Frontend/Backend</x:t>
  </x:si>
  <x:si>
    <x:t xml:space="preserve">CrowdRadar-FrontEnd/lib/pages/register/register_page.dart; CrowdRadar-Backend/src/validations/authSchemas.js</x:t>
  </x:si>
  <x:si>
    <x:t xml:space="preserve">Backend validado en pruebas; interfaz no ejecutada.</x:t>
  </x:si>
  <x:si>
    <x:t xml:space="preserve">T1.2-04</x:t>
  </x:si>
  <x:si>
    <x:t xml:space="preserve">Crear endpoint de registro</x:t>
  </x:si>
  <x:si>
    <x:t xml:space="preserve">Procesar las solicitudes de creación de cuentas.</x:t>
  </x:si>
  <x:si>
    <x:t xml:space="preserve">Registro exitoso y correo duplicado comprobados con repositorio en memoria.</x:t>
  </x:si>
  <x:si>
    <x:t xml:space="preserve">T1.2-05</x:t>
  </x:si>
  <x:si>
    <x:t xml:space="preserve">Configurar persistencia de usuarios</x:t>
  </x:si>
  <x:si>
    <x:t xml:space="preserve">Configurar el almacenamiento de información de usuarios en PostgreSQL.</x:t>
  </x:si>
  <x:si>
    <x:t xml:space="preserve">Base de datos</x:t>
  </x:si>
  <x:si>
    <x:t xml:space="preserve">Leonardo Fabrizio Stefano Gonzales Chavez</x:t>
  </x:si>
  <x:si>
    <x:t xml:space="preserve">T1.2-06</x:t>
  </x:si>
  <x:si>
    <x:t xml:space="preserve">Implementar cifrado de contraseñas</x:t>
  </x:si>
  <x:si>
    <x:t xml:space="preserve">Proteger las contraseñas con cifrado antes de almacenarlas.</x:t>
  </x:si>
  <x:si>
    <x:t xml:space="preserve">CrowdRadar-Backend/src/services/AuthService.js; CrowdRadar-Backend/test/sprint1.test.js; entrega/evidencias/backend-tests.txt</x:t>
  </x:si>
  <x:si>
    <x:t xml:space="preserve">Hash bcrypt y comparación de contraseña comprobados.</x:t>
  </x:si>
  <x:si>
    <x:t xml:space="preserve">T1.2-07</x:t>
  </x:si>
  <x:si>
    <x:t xml:space="preserve">Realizar pruebas de registro</x:t>
  </x:si>
  <x:si>
    <x:t xml:space="preserve">Verificar registro correcto y manejo de errores.</x:t>
  </x:si>
  <x:si>
    <x:t xml:space="preserve">Leonardo Fabrizio Stefano Gonzales Chavez; Rael Chang (apoyo actual)</x:t>
  </x:si>
  <x:si>
    <x:t xml:space="preserve">T1.2-05, T1.2-06</x:t>
  </x:si>
  <x:si>
    <x:t xml:space="preserve">1.3</x:t>
  </x:si>
  <x:si>
    <x:t xml:space="preserve">Como usuario autenticado, quiero visualizar la información de mi perfil para consultar mis datos registrados en CrowdRadar.</x:t>
  </x:si>
  <x:si>
    <x:t xml:space="preserve">El usuario autenticado puede solicitar y ver sus datos registrados.
La información se muestra organizada por campos.
Un error de consulta muestra un mensaje informativo.</x:t>
  </x:si>
  <x:si>
    <x:t xml:space="preserve">T1.3-01</x:t>
  </x:si>
  <x:si>
    <x:t xml:space="preserve">Diseñar pantalla de perfil</x:t>
  </x:si>
  <x:si>
    <x:t xml:space="preserve">Diseñar la interfaz de visualización del perfil autenticado.</x:t>
  </x:si>
  <x:si>
    <x:t xml:space="preserve">HU 1.1</x:t>
  </x:si>
  <x:si>
    <x:t xml:space="preserve">CrowdRadar-FrontEnd/lib/pages/profile/profile_page.dart</x:t>
  </x:si>
  <x:si>
    <x:t xml:space="preserve">Implementación localizada; requiere ejecución Flutter.</x:t>
  </x:si>
  <x:si>
    <x:t xml:space="preserve">T1.3-02</x:t>
  </x:si>
  <x:si>
    <x:t xml:space="preserve">Crear endpoint de consulta de perfil</x:t>
  </x:si>
  <x:si>
    <x:t xml:space="preserve">Recuperar la información del perfil mediante REST.</x:t>
  </x:si>
  <x:si>
    <x:t xml:space="preserve">CrowdRadar-Backend/src/routes/user.routes.js; CrowdRadar-Backend/src/controllers/UserController.js; CrowdRadar-Backend/src/services/UserService.js; CrowdRadar-Backend/test/sprint1.test.js; entrega/evidencias/backend-tests.txt</x:t>
  </x:si>
  <x:si>
    <x:t xml:space="preserve">GET protegido comprobado con servidor Express real y repositorio en memoria.</x:t>
  </x:si>
  <x:si>
    <x:t xml:space="preserve">T1.3-03</x:t>
  </x:si>
  <x:si>
    <x:t xml:space="preserve">Obtener datos del usuario autenticado</x:t>
  </x:si>
  <x:si>
    <x:t xml:space="preserve">Identificar al usuario desde el JWT y recuperar sus datos.</x:t>
  </x:si>
  <x:si>
    <x:t xml:space="preserve">Sergio Fabian Aguilar Porturas</x:t>
  </x:si>
  <x:si>
    <x:t xml:space="preserve">CrowdRadar-Backend/src/middlewares/authMiddleware.js; CrowdRadar-Backend/test/sprint1.test.js; entrega/evidencias/backend-tests.txt</x:t>
  </x:si>
  <x:si>
    <x:t xml:space="preserve">Token válido y ausencia de token comprobados.</x:t>
  </x:si>
  <x:si>
    <x:t xml:space="preserve">T1.3-04</x:t>
  </x:si>
  <x:si>
    <x:t xml:space="preserve">Mostrar información en interfaz</x:t>
  </x:si>
  <x:si>
    <x:t xml:space="preserve">Presentar la información del perfil de forma clara y organizada.</x:t>
  </x:si>
  <x:si>
    <x:t xml:space="preserve">T1.3-01, T1.3-02</x:t>
  </x:si>
  <x:si>
    <x:t xml:space="preserve">Código revisado; no hay evidencia de renderizado Flutter.</x:t>
  </x:si>
  <x:si>
    <x:t xml:space="preserve">T1.3-05</x:t>
  </x:si>
  <x:si>
    <x:t xml:space="preserve">Gestionar errores de consulta</x:t>
  </x:si>
  <x:si>
    <x:t xml:space="preserve">Informar errores al recuperar el perfil.</x:t>
  </x:si>
  <x:si>
    <x:t xml:space="preserve">CrowdRadar-FrontEnd/lib/pages/profile/profile_page.dart; CrowdRadar-Backend/src/routes/user.routes.js; CrowdRadar-Backend/src/controllers/UserController.js; CrowdRadar-Backend/src/services/UserService.js</x:t>
  </x:si>
  <x:si>
    <x:t xml:space="preserve">Manejo de error presente; escenario móvil no ejecutado.</x:t>
  </x:si>
  <x:si>
    <x:t xml:space="preserve">T1.3-06</x:t>
  </x:si>
  <x:si>
    <x:t xml:space="preserve">Conectar la interfaz de perfil con el servicio de consulta.</x:t>
  </x:si>
  <x:si>
    <x:t xml:space="preserve">T1.3-03, T1.3-04</x:t>
  </x:si>
  <x:si>
    <x:t xml:space="preserve">CrowdRadar-FrontEnd/lib/services; CrowdRadar-FrontEnd/lib/configs/api_config.dart; CrowdRadar-Backend/src/routes/user.routes.js; CrowdRadar-Backend/src/controllers/UserController.js; CrowdRadar-Backend/src/services/UserService.js</x:t>
  </x:si>
  <x:si>
    <x:t xml:space="preserve">T1.3-07</x:t>
  </x:si>
  <x:si>
    <x:t xml:space="preserve">Realizar pruebas de visualización</x:t>
  </x:si>
  <x:si>
    <x:t xml:space="preserve">Verificar recuperación y presentación del perfil.</x:t>
  </x:si>
  <x:si>
    <x:t xml:space="preserve">1.4</x:t>
  </x:si>
  <x:si>
    <x:t xml:space="preserve">Como usuario autenticado, quiero actualizar la información de mi perfil para mantener mis datos personales actualizados dentro de CrowdRadar.</x:t>
  </x:si>
  <x:si>
    <x:t xml:space="preserve">Los cambios permitidos se guardan.
Los datos inválidos muestran mensajes de validación.
Una consulta posterior muestra la información actualizada.</x:t>
  </x:si>
  <x:si>
    <x:t xml:space="preserve">T1.4-01</x:t>
  </x:si>
  <x:si>
    <x:t xml:space="preserve">Diseñar pantalla de edición de perfil</x:t>
  </x:si>
  <x:si>
    <x:t xml:space="preserve">Diseñar la interfaz para modificar información personal.</x:t>
  </x:si>
  <x:si>
    <x:t xml:space="preserve">HU 1.3</x:t>
  </x:si>
  <x:si>
    <x:t xml:space="preserve">CrowdRadar-FrontEnd/lib/pages/profile/edit_profile_page.dart</x:t>
  </x:si>
  <x:si>
    <x:t xml:space="preserve">T1.4-02</x:t>
  </x:si>
  <x:si>
    <x:t xml:space="preserve">Implementar formulario de actualización</x:t>
  </x:si>
  <x:si>
    <x:t xml:space="preserve">Capturar las modificaciones realizadas sobre el perfil.</x:t>
  </x:si>
  <x:si>
    <x:t xml:space="preserve">T1.4-03</x:t>
  </x:si>
  <x:si>
    <x:t xml:space="preserve">Validar datos ingresados</x:t>
  </x:si>
  <x:si>
    <x:t xml:space="preserve">Validar consistencia y formato de los datos modificados.</x:t>
  </x:si>
  <x:si>
    <x:t xml:space="preserve">CrowdRadar-FrontEnd/lib/pages/profile/edit_profile_page.dart; CrowdRadar-Backend/src/validations/userSchemas.js; CrowdRadar-Backend/test/sprint1.test.js; entrega/evidencias/backend-tests.txt</x:t>
  </x:si>
  <x:si>
    <x:t xml:space="preserve">Backend rechaza nombre inválido; interfaz no ejecutada.</x:t>
  </x:si>
  <x:si>
    <x:t xml:space="preserve">T1.4-04</x:t>
  </x:si>
  <x:si>
    <x:t xml:space="preserve">Crear endpoint de actualización</x:t>
  </x:si>
  <x:si>
    <x:t xml:space="preserve">Procesar los cambios del perfil mediante REST.</x:t>
  </x:si>
  <x:si>
    <x:t xml:space="preserve">PUT protegido comprobado con servidor Express real y repositorio en memoria.</x:t>
  </x:si>
  <x:si>
    <x:t xml:space="preserve">T1.4-05</x:t>
  </x:si>
  <x:si>
    <x:t xml:space="preserve">Actualizar información en base de datos</x:t>
  </x:si>
  <x:si>
    <x:t xml:space="preserve">Persistir los cambios del usuario en PostgreSQL.</x:t>
  </x:si>
  <x:si>
    <x:t xml:space="preserve">T1.4-06</x:t>
  </x:si>
  <x:si>
    <x:t xml:space="preserve">Conectar la edición del perfil con el servicio de actualización.</x:t>
  </x:si>
  <x:si>
    <x:t xml:space="preserve">Sergio Fabian Aguilar Porturas; Rael Chang (apoyo actual)</x:t>
  </x:si>
  <x:si>
    <x:t xml:space="preserve">T1.4-02, T1.4-04, T1.4-05</x:t>
  </x:si>
  <x:si>
    <x:t xml:space="preserve">T1.4-07</x:t>
  </x:si>
  <x:si>
    <x:t xml:space="preserve">Realizar pruebas de actualización</x:t>
  </x:si>
  <x:si>
    <x:t xml:space="preserve">Verificar modificación y persistencia de los datos del perfil.</x:t>
  </x:si>
  <x:si>
    <x:t xml:space="preserve">Evidencias reales del Sprint 1</x:t>
  </x:si>
  <x:si>
    <x:t xml:space="preserve">Solo se registran resultados observados o ejecutados. Los bloqueos se mantienen visibles.</x:t>
  </x:si>
  <x:si>
    <x:t xml:space="preserve">Historia</x:t>
  </x:si>
  <x:si>
    <x:t xml:space="preserve">Caso probado</x:t>
  </x:si>
  <x:si>
    <x:t xml:space="preserve">Resultado esperado</x:t>
  </x:si>
  <x:si>
    <x:t xml:space="preserve">Resultado obtenido</x:t>
  </x:si>
  <x:si>
    <x:t xml:space="preserve">Archivo, prueba, captura o commit asociado</x:t>
  </x:si>
  <x:si>
    <x:t xml:space="preserve">General</x:t>
  </x:si>
  <x:si>
    <x:t xml:space="preserve">Disponibilidad de herramientas</x:t>
  </x:si>
  <x:si>
    <x:t xml:space="preserve">Identificar herramientas instaladas antes de modificar código.</x:t>
  </x:si>
  <x:si>
    <x:t xml:space="preserve">Git 2.51, Node 22.20, npm 10.9 y Java 21 disponibles. Flutter/Dart y Android SDK no detectados.</x:t>
  </x:si>
  <x:si>
    <x:t xml:space="preserve">Aprobada</x:t>
  </x:si>
  <x:si>
    <x:t xml:space="preserve">entrega/EVIDENCIAS_SPRINT_1.md</x:t>
  </x:si>
  <x:si>
    <x:t xml:space="preserve">Disponibilidad de PostgreSQL</x:t>
  </x:si>
  <x:si>
    <x:t xml:space="preserve">Confirmar servicio y puerto local.</x:t>
  </x:si>
  <x:si>
    <x:t xml:space="preserve">Arranque del backend sin configuración</x:t>
  </x:si>
  <x:si>
    <x:t xml:space="preserve">Mostrar un error accionable si falta .env.</x:t>
  </x:si>
  <x:si>
    <x:t xml:space="preserve">Registro y cifrado</x:t>
  </x:si>
  <x:si>
    <x:t xml:space="preserve">Crear usuario, ocultar contraseña, cifrar con bcrypt y rechazar correo duplicado.</x:t>
  </x:si>
  <x:si>
    <x:t xml:space="preserve">Login y JWT</x:t>
  </x:si>
  <x:si>
    <x:t xml:space="preserve">Aceptar credenciales válidas y rechazar contraseña incorrecta.</x:t>
  </x:si>
  <x:si>
    <x:t xml:space="preserve">Consulta de perfil protegida</x:t>
  </x:si>
  <x:si>
    <x:t xml:space="preserve">Exigir JWT y devolver datos sin passwordHash.</x:t>
  </x:si>
  <x:si>
    <x:t xml:space="preserve">Actualización y consulta posterior</x:t>
  </x:si>
  <x:si>
    <x:t xml:space="preserve">Guardar cambios y mostrarlos en una consulta posterior; rechazar datos inválidos.</x:t>
  </x:si>
  <x:si>
    <x:t xml:space="preserve">Pantalla y servicio de login</x:t>
  </x:si>
  <x:si>
    <x:t xml:space="preserve">Compilar y ejecutar el flujo Flutter.</x:t>
  </x:si>
  <x:si>
    <x:t xml:space="preserve">Código localizado y revisado; no ejecutado porque Flutter/Dart no están instalados.</x:t>
  </x:si>
  <x:si>
    <x:t xml:space="preserve">Pantalla y servicio de registro</x:t>
  </x:si>
  <x:si>
    <x:t xml:space="preserve">Visualización del perfil</x:t>
  </x:si>
  <x:si>
    <x:t xml:space="preserve">Ejecutar la consulta desde Flutter y renderizar el perfil.</x:t>
  </x:si>
  <x:si>
    <x:t xml:space="preserve">Código localizado y revisado; integración móvil no ejecutada.</x:t>
  </x:si>
  <x:si>
    <x:t xml:space="preserve">CrowdRadar-FrontEnd/lib/pages/profile/profile_page.dart; CrowdRadar-FrontEnd/lib/services/user_service.dart</x:t>
  </x:si>
  <x:si>
    <x:t xml:space="preserve">Actualización del perfil</x:t>
  </x:si>
  <x:si>
    <x:t xml:space="preserve">Ejecutar edición Flutter y comprobar persistencia PostgreSQL.</x:t>
  </x:si>
  <x:si>
    <x:t xml:space="preserve">Prueba end-to-end</x:t>
  </x:si>
  <x:si>
    <x:t xml:space="preserve">Completar registro, login, perfil y actualización en Android contra PostgreSQL.</x:t>
  </x:si>
</x:sst>
</file>

<file path=xl/styles.xml><?xml version="1.0" encoding="utf-8"?>
<x:styleSheet xmlns:x="http://schemas.openxmlformats.org/spreadsheetml/2006/main">
  <x:numFmts count="1">
    <x:numFmt numFmtId="164" formatCode="0&quot; h&quot;"/>
  </x:numFmts>
  <x:fonts count="10">
    <x:font>
      <x:sz val="11"/>
      <x:name val="Carlito"/>
    </x:font>
    <x:font>
      <x:sz val="10"/>
      <x:color rgb="FF1F2937"/>
      <x:name val="Arial"/>
    </x:font>
    <x:font>
      <x:b/>
      <x:sz val="16"/>
      <x:color rgb="FF1A3C8F"/>
      <x:name val="Arial"/>
    </x:font>
    <x:font>
      <x:b/>
      <x:sz val="10"/>
      <x:color rgb="FF1A3C8F"/>
      <x:name val="Arial"/>
    </x:font>
    <x:font>
      <x:b/>
      <x:sz val="10"/>
      <x:color rgb="FFFFFFFF"/>
      <x:name val="Arial"/>
    </x:font>
    <x:font>
      <x:b/>
      <x:sz val="10"/>
      <x:color rgb="FF2E7D32"/>
      <x:name val="Arial"/>
    </x:font>
    <x:font>
      <x:b/>
      <x:sz val="10"/>
      <x:color rgb="FF9A6700"/>
      <x:name val="Arial"/>
    </x:font>
    <x:font>
      <x:b/>
      <x:sz val="10"/>
      <x:color rgb="FF5F6B7A"/>
      <x:name val="Arial"/>
    </x:font>
    <x:font>
      <x:b/>
      <x:sz val="10"/>
      <x:color rgb="FFB3261E"/>
      <x:name val="Arial"/>
    </x:font>
    <x:font>
      <x:i/>
      <x:sz val="9"/>
      <x:color rgb="FF5F6B7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CEAF8"/>
      </x:patternFill>
    </x:fill>
    <x:fill>
      <x:patternFill patternType="solid">
        <x:fgColor rgb="FF1A3C8F"/>
      </x:patternFill>
    </x:fill>
    <x:fill>
      <x:patternFill patternType="solid">
        <x:fgColor rgb="FFE7F4DF"/>
      </x:patternFill>
    </x:fill>
    <x:fill>
      <x:patternFill patternType="solid">
        <x:fgColor rgb="FFFFF1CC"/>
      </x:patternFill>
    </x:fill>
    <x:fill>
      <x:patternFill patternType="solid">
        <x:fgColor rgb="FFF3F5F7"/>
      </x:patternFill>
    </x:fill>
    <x:fill>
      <x:patternFill patternType="solid">
        <x:fgColor rgb="FFFDE2E2"/>
      </x:patternFill>
    </x:fill>
  </x:fills>
  <x:borders count="14">
    <x:border/>
    <x:border>
      <x:bottom style="medium">
        <x:color rgb="FF1A3C8F"/>
      </x:bottom>
    </x:border>
    <x:border>
      <x:left style="thin">
        <x:color rgb="FFCFD8E3"/>
      </x:left>
      <x:top style="thin">
        <x:color rgb="FFCFD8E3"/>
      </x:top>
    </x:border>
    <x:border>
      <x:right style="thin">
        <x:color rgb="FFCFD8E3"/>
      </x:right>
      <x:top style="thin">
        <x:color rgb="FFCFD8E3"/>
      </x:top>
    </x:border>
    <x:border>
      <x:left style="thin">
        <x:color rgb="FFCFD8E3"/>
      </x:left>
    </x:border>
    <x:border>
      <x:right style="thin">
        <x:color rgb="FFCFD8E3"/>
      </x:right>
    </x:border>
    <x:border>
      <x:left style="thin">
        <x:color rgb="FFCFD8E3"/>
      </x:left>
      <x:bottom style="thin">
        <x:color rgb="FFCFD8E3"/>
      </x:bottom>
    </x:border>
    <x:border>
      <x:right style="thin">
        <x:color rgb="FFCFD8E3"/>
      </x:right>
      <x:bottom style="thin">
        <x:color rgb="FFCFD8E3"/>
      </x:bottom>
    </x:border>
    <x:border>
      <x:left style="thin">
        <x:color rgb="FFCFD8E3"/>
      </x:left>
      <x:top style="thin">
        <x:color rgb="FFCFD8E3"/>
      </x:top>
      <x:bottom style="thin">
        <x:color rgb="FFCFD8E3"/>
      </x:bottom>
    </x:border>
    <x:border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  <x:border>
      <x:top style="thin">
        <x:color rgb="FFCFD8E3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2" fillId="0" borderId="1" xfId="0" applyFont="1" applyBorder="1"/>
    <x:xf numFmtId="0" fontId="3" fillId="2" borderId="2" xfId="0" applyFont="1" applyFill="1" applyBorder="1" applyAlignment="1">
      <x:alignment vertical="center"/>
    </x:xf>
    <x:xf numFmtId="0" fontId="1" fillId="0" borderId="3" xfId="0" applyFont="1" applyBorder="1" applyAlignment="1">
      <x:alignment vertical="center" wrapText="1"/>
    </x:xf>
    <x:xf numFmtId="0" fontId="3" fillId="2" borderId="4" xfId="0" applyFont="1" applyFill="1" applyBorder="1" applyAlignment="1">
      <x:alignment vertical="center"/>
    </x:xf>
    <x:xf numFmtId="0" fontId="1" fillId="0" borderId="5" xfId="0" applyFont="1" applyBorder="1" applyAlignment="1">
      <x:alignment vertical="center" wrapText="1"/>
    </x:xf>
    <x:xf numFmtId="0" fontId="3" fillId="2" borderId="6" xfId="0" applyFont="1" applyFill="1" applyBorder="1" applyAlignment="1">
      <x:alignment vertical="center"/>
    </x:xf>
    <x:xf numFmtId="0" fontId="1" fillId="0" borderId="7" xfId="0" applyFont="1" applyBorder="1" applyAlignment="1">
      <x:alignment vertical="center" wrapText="1"/>
    </x:xf>
    <x:xf numFmtId="0" fontId="4" fillId="3" borderId="0" xfId="0" applyFont="1" applyFill="1" applyAlignment="1">
      <x:alignment horizontal="center" vertical="center"/>
    </x:xf>
    <x:xf numFmtId="0" fontId="1" fillId="0" borderId="6" xfId="0" applyFont="1" applyBorder="1"/>
    <x:xf numFmtId="1" fontId="1" fillId="0" borderId="7" xfId="0" applyNumberFormat="1" applyFont="1" applyBorder="1"/>
    <x:xf numFmtId="0" fontId="1" fillId="0" borderId="8" xfId="0" applyFont="1" applyBorder="1"/>
    <x:xf numFmtId="1" fontId="5" fillId="4" borderId="9" xfId="0" applyNumberFormat="1" applyFont="1" applyFill="1" applyBorder="1" applyAlignment="1">
      <x:alignment horizontal="center"/>
    </x:xf>
    <x:xf numFmtId="1" fontId="6" fillId="5" borderId="9" xfId="0" applyNumberFormat="1" applyFont="1" applyFill="1" applyBorder="1" applyAlignment="1">
      <x:alignment horizontal="center"/>
    </x:xf>
    <x:xf numFmtId="1" fontId="7" fillId="6" borderId="9" xfId="0" applyNumberFormat="1" applyFont="1" applyFill="1" applyBorder="1" applyAlignment="1">
      <x:alignment horizontal="center"/>
    </x:xf>
    <x:xf numFmtId="1" fontId="8" fillId="7" borderId="9" xfId="0" applyNumberFormat="1" applyFont="1" applyFill="1" applyBorder="1" applyAlignment="1">
      <x:alignment horizontal="center"/>
    </x:xf>
    <x:xf numFmtId="9" fontId="3" fillId="2" borderId="9" xfId="0" applyNumberFormat="1" applyFont="1" applyFill="1" applyBorder="1" applyAlignment="1">
      <x:alignment horizontal="center"/>
    </x:xf>
    <x:xf numFmtId="0" fontId="4" fillId="3" borderId="2" xfId="0" applyFont="1" applyFill="1" applyBorder="1" applyAlignment="1">
      <x:alignment horizontal="center"/>
    </x:xf>
    <x:xf numFmtId="0" fontId="4" fillId="3" borderId="3" xfId="0" applyFont="1" applyFill="1" applyBorder="1" applyAlignment="1">
      <x:alignment horizontal="center"/>
    </x:xf>
    <x:xf numFmtId="0" fontId="1" fillId="0" borderId="4" xfId="0" applyFont="1" applyBorder="1" applyAlignment="1">
      <x:alignment vertical="center" wrapText="1"/>
    </x:xf>
    <x:xf numFmtId="0" fontId="1" fillId="0" borderId="6" xfId="0" applyFont="1" applyBorder="1" applyAlignment="1">
      <x:alignment vertical="center" wrapText="1"/>
    </x:xf>
    <x:xf numFmtId="0" fontId="3" fillId="2" borderId="2" xfId="0" applyFont="1" applyFill="1" applyBorder="1" applyAlignment="1">
      <x:alignment vertical="center" wrapText="1"/>
    </x:xf>
    <x:xf numFmtId="0" fontId="3" fillId="2" borderId="4" xfId="0" applyFont="1" applyFill="1" applyBorder="1" applyAlignment="1">
      <x:alignment vertical="center" wrapText="1"/>
    </x:xf>
    <x:xf numFmtId="0" fontId="3" fillId="2" borderId="6" xfId="0" applyFont="1" applyFill="1" applyBorder="1" applyAlignment="1">
      <x:alignment vertical="center" wrapText="1"/>
    </x:xf>
    <x:xf numFmtId="0" fontId="9" fillId="0" borderId="0" xfId="0" applyFont="1"/>
    <x:xf numFmtId="0" fontId="4" fillId="3" borderId="10" xfId="0" applyFont="1" applyFill="1" applyBorder="1" applyAlignment="1">
      <x:alignment horizontal="center" vertical="center" wrapText="1"/>
    </x:xf>
    <x:xf numFmtId="0" fontId="1" fillId="0" borderId="11" xfId="0" applyFont="1" applyBorder="1" applyAlignment="1">
      <x:alignment vertical="top" wrapText="1"/>
    </x:xf>
    <x:xf numFmtId="0" fontId="1" fillId="0" borderId="12" xfId="0" applyFont="1" applyBorder="1" applyAlignment="1">
      <x:alignment vertical="top" wrapText="1"/>
    </x:xf>
    <x:xf numFmtId="0" fontId="1" fillId="0" borderId="13" xfId="0" applyFont="1" applyBorder="1" applyAlignment="1">
      <x:alignment vertical="top" wrapText="1"/>
    </x:xf>
    <x:xf numFmtId="49" fontId="1" fillId="0" borderId="11" xfId="0" applyNumberFormat="1" applyFont="1" applyBorder="1" applyAlignment="1">
      <x:alignment vertical="top" wrapText="1"/>
    </x:xf>
    <x:xf numFmtId="49" fontId="1" fillId="0" borderId="12" xfId="0" applyNumberFormat="1" applyFont="1" applyBorder="1" applyAlignment="1">
      <x:alignment vertical="top" wrapText="1"/>
    </x:xf>
    <x:xf numFmtId="49" fontId="1" fillId="0" borderId="13" xfId="0" applyNumberFormat="1" applyFont="1" applyBorder="1" applyAlignment="1">
      <x:alignment vertical="top" wrapText="1"/>
    </x:xf>
    <x:xf numFmtId="49" fontId="1" fillId="0" borderId="11" xfId="0" applyNumberFormat="1" applyFont="1" applyBorder="1" applyAlignment="1">
      <x:alignment horizontal="center" vertical="top" wrapText="1"/>
    </x:xf>
    <x:xf numFmtId="49" fontId="1" fillId="0" borderId="12" xfId="0" applyNumberFormat="1" applyFont="1" applyBorder="1" applyAlignment="1">
      <x:alignment horizontal="center" vertical="top" wrapText="1"/>
    </x:xf>
    <x:xf numFmtId="49" fontId="1" fillId="0" borderId="13" xfId="0" applyNumberFormat="1" applyFont="1" applyBorder="1" applyAlignment="1">
      <x:alignment horizontal="center" vertical="top" wrapText="1"/>
    </x:xf>
    <x:xf numFmtId="0" fontId="1" fillId="0" borderId="11" xfId="0" applyFont="1" applyBorder="1" applyAlignment="1">
      <x:alignment horizontal="center" vertical="top" wrapText="1"/>
    </x:xf>
    <x:xf numFmtId="164" fontId="1" fillId="0" borderId="11" xfId="0" applyNumberFormat="1" applyFont="1" applyBorder="1" applyAlignment="1">
      <x:alignment horizontal="center" vertical="top" wrapText="1"/>
    </x:xf>
    <x:xf numFmtId="0" fontId="1" fillId="0" borderId="12" xfId="0" applyFont="1" applyBorder="1" applyAlignment="1">
      <x:alignment horizontal="center" vertical="top" wrapText="1"/>
    </x:xf>
    <x:xf numFmtId="164" fontId="1" fillId="0" borderId="12" xfId="0" applyNumberFormat="1" applyFont="1" applyBorder="1" applyAlignment="1">
      <x:alignment horizontal="center" vertical="top" wrapText="1"/>
    </x:xf>
    <x:xf numFmtId="0" fontId="1" fillId="0" borderId="13" xfId="0" applyFont="1" applyBorder="1" applyAlignment="1">
      <x:alignment horizontal="center" vertical="top" wrapText="1"/>
    </x:xf>
    <x:xf numFmtId="164" fontId="1" fillId="0" borderId="13" xfId="0" applyNumberFormat="1" applyFont="1" applyBorder="1" applyAlignment="1">
      <x:alignment horizontal="center" vertical="top" wrapText="1"/>
    </x:xf>
  </x:cellXfs>
  <x:cellStyles count="1">
    <x:cellStyle name="Normal" xfId="0"/>
  </x:cellStyles>
  <x:dxfs count="7">
    <x:dxf>
      <x:font>
        <x:b/>
        <x:color rgb="FFB3261E"/>
      </x:font>
      <x:fill>
        <x:patternFill>
          <x:bgColor rgb="FFFDE2E2"/>
        </x:patternFill>
      </x:fill>
    </x:dxf>
    <x:dxf>
      <x:font>
        <x:b/>
        <x:color rgb="FF9A6700"/>
      </x:font>
      <x:fill>
        <x:patternFill>
          <x:bgColor rgb="FFFFF1CC"/>
        </x:patternFill>
      </x:fill>
    </x:dxf>
    <x:dxf>
      <x:font>
        <x:b/>
        <x:color rgb="FF2E7D32"/>
      </x:font>
      <x:fill>
        <x:patternFill>
          <x:bgColor rgb="FFE7F4DF"/>
        </x:patternFill>
      </x:fill>
    </x:dxf>
    <x:dxf>
      <x:font>
        <x:b/>
        <x:color rgb="FFB3261E"/>
      </x:font>
      <x:fill>
        <x:patternFill>
          <x:bgColor rgb="FFFDE2E2"/>
        </x:patternFill>
      </x:fill>
    </x:dxf>
    <x:dxf>
      <x:font>
        <x:b/>
        <x:color rgb="FF5F6B7A"/>
      </x:font>
      <x:fill>
        <x:patternFill>
          <x:bgColor rgb="FFF3F5F7"/>
        </x:patternFill>
      </x:fill>
    </x:dxf>
    <x:dxf>
      <x:font>
        <x:b/>
        <x:color rgb="FF9A6700"/>
      </x:font>
      <x:fill>
        <x:patternFill>
          <x:bgColor rgb="FFFFF1CC"/>
        </x:patternFill>
      </x:fill>
    </x:dxf>
    <x:dxf>
      <x:font>
        <x:b/>
        <x:color rgb="FF2E7D32"/>
      </x:font>
      <x:fill>
        <x:patternFill>
          <x:bgColor rgb="FFE7F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bdf6ad7e564376" /><Relationship Type="http://schemas.openxmlformats.org/officeDocument/2006/relationships/theme" Target="/xl/theme/theme1.xml" Id="R6976138740724904" /><Relationship Type="http://schemas.openxmlformats.org/officeDocument/2006/relationships/sharedStrings" Target="/xl/sharedStrings.xml" Id="Ra6b1ff2a46964b60" /><Relationship Type="http://schemas.openxmlformats.org/officeDocument/2006/relationships/worksheet" Target="/xl/worksheets/sheet1.xml" Id="R84783f4632c94e99" /><Relationship Type="http://schemas.openxmlformats.org/officeDocument/2006/relationships/worksheet" Target="/xl/worksheets/sheet2.xml" Id="Rad2619ef5ad14a84" /><Relationship Type="http://schemas.openxmlformats.org/officeDocument/2006/relationships/worksheet" Target="/xl/worksheets/sheet3.xml" Id="Rab2f6f6778644c2b" /></Relationships>
</file>

<file path=xl/tables/table1.xml><?xml version="1.0" encoding="utf-8"?>
<x:table xmlns:x="http://schemas.openxmlformats.org/spreadsheetml/2006/main" id="1" name="SprintBacklogTable" displayName="SprintBacklogTable" ref="A5:N33" totalsRowShown="0">
  <x:tableColumns count="14">
    <x:tableColumn id="1" name="ID de historia"/>
    <x:tableColumn id="2" name="Historia de usuario"/>
    <x:tableColumn id="3" name="Criterio de aceptación"/>
    <x:tableColumn id="4" name="ID de tarea"/>
    <x:tableColumn id="5" name="Tarea"/>
    <x:tableColumn id="6" name="Descripción"/>
    <x:tableColumn id="7" name="Área"/>
    <x:tableColumn id="8" name="Responsable"/>
    <x:tableColumn id="9" name="Prioridad"/>
    <x:tableColumn id="10" name="Estimación"/>
    <x:tableColumn id="11" name="Dependencia"/>
    <x:tableColumn id="12" name="Estado"/>
    <x:tableColumn id="13" name="Evidencia"/>
    <x:tableColumn id="14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rintEvidenceTable" displayName="SprintEvidenceTable" ref="A5:F17" totalsRowShown="0">
  <x:tableColumns count="6">
    <x:tableColumn id="1" name="Historia"/>
    <x:tableColumn id="2" name="Caso probado"/>
    <x:tableColumn id="3" name="Resultado esperado"/>
    <x:tableColumn id="4" name="Resultado obtenido"/>
    <x:tableColumn id="5" name="Estado"/>
    <x:tableColumn id="6" name="Archivo, prueba, captura o commit asoci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750bf330ee41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c89703074e4b49" /></Relationships>
</file>

<file path=xl/worksheets/sheet1.xml><?xml version="1.0" encoding="utf-8"?>
<x:worksheet xmlns:x="http://schemas.openxmlformats.org/spreadsheetml/2006/main">
  <x:sheetPr>
    <x:tabColor rgb="FF1A3C8F"/>
  </x:sheetPr>
  <x:sheetViews>
    <x:sheetView showGridLines="0" workbookViewId="0"/>
  </x:sheetViews>
  <x:sheetFormatPr baseColWidth="10" defaultColWidth="8.796875" defaultRowHeight="13.800000190734863"/>
  <x:cols>
    <x:col min="1" max="1" width="27" customWidth="1"/>
    <x:col min="2" max="2" width="62" customWidth="1"/>
    <x:col min="3" max="3" width="3" customWidth="1"/>
    <x:col min="4" max="4" width="24" customWidth="1"/>
    <x:col min="5" max="5" width="55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1">
      <x:c r="A2" s="3" t="s">
        <x:v>0</x:v>
      </x:c>
      <x:c r="B2" s="2"/>
      <x:c r="C2" s="2"/>
      <x:c r="D2" s="2"/>
      <x:c r="E2" s="2"/>
      <x:c r="F2" s="2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4" t="s">
        <x:v>1</x:v>
      </x:c>
      <x:c r="B4" s="5" t="s">
        <x:v>2</x:v>
      </x:c>
      <x:c r="C4" s="1"/>
      <x:c r="D4" s="19" t="s">
        <x:v>3</x:v>
      </x:c>
      <x:c r="E4" s="20" t="s">
        <x:v>4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42" customHeight="1">
      <x:c r="A5" s="6" t="s">
        <x:v>5</x:v>
      </x:c>
      <x:c r="B5" s="7" t="s">
        <x:v>6</x:v>
      </x:c>
      <x:c r="C5" s="1"/>
      <x:c r="D5" s="21" t="s">
        <x:v>7</x:v>
      </x:c>
      <x:c r="E5" s="7" t="s">
        <x:v>8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42" customHeight="1">
      <x:c r="A6" s="6" t="s">
        <x:v>9</x:v>
      </x:c>
      <x:c r="B6" s="7" t="s">
        <x:v>10</x:v>
      </x:c>
      <x:c r="C6" s="1"/>
      <x:c r="D6" s="21" t="s">
        <x:v>11</x:v>
      </x:c>
      <x:c r="E6" s="7" t="s">
        <x:v>12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42" customHeight="1">
      <x:c r="A7" s="6" t="s">
        <x:v>13</x:v>
      </x:c>
      <x:c r="B7" s="7" t="s">
        <x:v>14</x:v>
      </x:c>
      <x:c r="C7" s="1"/>
      <x:c r="D7" s="21" t="s">
        <x:v>15</x:v>
      </x:c>
      <x:c r="E7" s="7" t="s">
        <x:v>16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42" customHeight="1">
      <x:c r="A8" s="6" t="s">
        <x:v>17</x:v>
      </x:c>
      <x:c r="B8" s="7" t="s">
        <x:v>18</x:v>
      </x:c>
      <x:c r="C8" s="1"/>
      <x:c r="D8" s="22" t="s">
        <x:v>19</x:v>
      </x:c>
      <x:c r="E8" s="9" t="s">
        <x:v>20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42" customHeight="1">
      <x:c r="A9" s="8" t="s">
        <x:v>21</x:v>
      </x:c>
      <x:c r="B9" s="9" t="s">
        <x:v>22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42" customHeight="1">
      <x:c r="A10" s="1"/>
      <x:c r="B10" s="1"/>
      <x:c r="C10" s="1"/>
      <x:c r="D10" s="23" t="s">
        <x:v>23</x:v>
      </x:c>
      <x:c r="E10" s="5" t="s">
        <x:v>24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42" customHeight="1">
      <x:c r="A11" s="10" t="s">
        <x:v>25</x:v>
      </x:c>
      <x:c r="B11" s="10" t="s">
        <x:v>26</x:v>
      </x:c>
      <x:c r="C11" s="1"/>
      <x:c r="D11" s="24" t="s">
        <x:v>27</x:v>
      </x:c>
      <x:c r="E11" s="7" t="s">
        <x:v>28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42" customHeight="1">
      <x:c r="A12" s="11" t="s">
        <x:v>29</x:v>
      </x:c>
      <x:c r="B12" s="12" t="n">
        <x:f>COUNTA('Sprint Backlog'!$D$6:$D$33)</x:f>
        <x:v>28</x:v>
      </x:c>
      <x:c r="C12" s="1"/>
      <x:c r="D12" s="25" t="s">
        <x:v>30</x:v>
      </x:c>
      <x:c r="E12" s="9" t="str">
        <x:v>20/09/2026. API y PostgreSQL comprobados; no se inventaron resultados de Flutter/Android.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3" t="s">
        <x:v>31</x:v>
      </x:c>
      <x:c r="B13" s="14" t="n">
        <x:f>COUNTIFS('Sprint Backlog'!$L$6:$L$33,"Completada")</x:f>
        <x:v>9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3" t="s">
        <x:v>32</x:v>
      </x:c>
      <x:c r="B14" s="15" t="n">
        <x:f>COUNTIFS('Sprint Backlog'!$L$6:$L$33,"En revisión")</x:f>
        <x:v>16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3" t="s">
        <x:v>33</x:v>
      </x:c>
      <x:c r="B15" s="16" t="n">
        <x:f>COUNTIFS('Sprint Backlog'!$L$6:$L$33,"Pendiente")</x:f>
        <x:v>0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3" t="s">
        <x:v>34</x:v>
      </x:c>
      <x:c r="B16" s="17" t="n">
        <x:f>COUNTIFS('Sprint Backlog'!$L$6:$L$33,"Bloqueada")</x:f>
        <x:v>3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3" t="s">
        <x:v>35</x:v>
      </x:c>
      <x:c r="B17" s="18" t="n">
        <x:f>IF(B12=0,0,B13/B12)</x:f>
        <x:v>0.32142857142857145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FCE"/>
  </x:sheetPr>
  <x:sheetViews>
    <x:sheetView showGridLines="0" workbookViewId="0">
      <x:pane xSplit="4" ySplit="5" topLeftCell="E6" activePane="bottomRight" state="frozen"/>
    </x:sheetView>
  </x:sheetViews>
  <x:sheetFormatPr baseColWidth="10" defaultColWidth="8.796875" defaultRowHeight="13.800000190734863"/>
  <x:cols>
    <x:col min="1" max="1" width="12" customWidth="1"/>
    <x:col min="2" max="2" width="32" customWidth="1"/>
    <x:col min="3" max="3" width="55" customWidth="1"/>
    <x:col min="4" max="4" width="13" customWidth="1"/>
    <x:col min="5" max="5" width="32" customWidth="1"/>
    <x:col min="6" max="6" width="52" customWidth="1"/>
    <x:col min="7" max="7" width="17" customWidth="1"/>
    <x:col min="8" max="8" width="32" customWidth="1"/>
    <x:col min="9" max="10" width="12" customWidth="1"/>
    <x:col min="11" max="11" width="24" customWidth="1"/>
    <x:col min="12" max="12" width="15" customWidth="1"/>
    <x:col min="13" max="13" width="48" customWidth="1"/>
    <x:col min="14" max="14" width="55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1">
      <x:c r="A2" s="3" t="s">
        <x:v>36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26" t="s">
        <x:v>37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7.95000076293945" customHeight="1">
      <x:c r="A5" s="27" t="s">
        <x:v>38</x:v>
      </x:c>
      <x:c r="B5" s="27" t="s">
        <x:v>39</x:v>
      </x:c>
      <x:c r="C5" s="27" t="s">
        <x:v>40</x:v>
      </x:c>
      <x:c r="D5" s="27" t="s">
        <x:v>41</x:v>
      </x:c>
      <x:c r="E5" s="27" t="s">
        <x:v>42</x:v>
      </x:c>
      <x:c r="F5" s="27" t="s">
        <x:v>43</x:v>
      </x:c>
      <x:c r="G5" s="27" t="s">
        <x:v>44</x:v>
      </x:c>
      <x:c r="H5" s="27" t="s">
        <x:v>45</x:v>
      </x:c>
      <x:c r="I5" s="27" t="s">
        <x:v>46</x:v>
      </x:c>
      <x:c r="J5" s="27" t="s">
        <x:v>47</x:v>
      </x:c>
      <x:c r="K5" s="27" t="s">
        <x:v>48</x:v>
      </x:c>
      <x:c r="L5" s="27" t="s">
        <x:v>49</x:v>
      </x:c>
      <x:c r="M5" s="27" t="s">
        <x:v>50</x:v>
      </x:c>
      <x:c r="N5" s="27" t="s">
        <x:v>51</x:v>
      </x:c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78" customHeight="1">
      <x:c r="A6" s="34" t="s">
        <x:v>52</x:v>
      </x:c>
      <x:c r="B6" s="28" t="s">
        <x:v>53</x:v>
      </x:c>
      <x:c r="C6" s="28" t="s">
        <x:v>54</x:v>
      </x:c>
      <x:c r="D6" s="34" t="s">
        <x:v>55</x:v>
      </x:c>
      <x:c r="E6" s="28" t="s">
        <x:v>56</x:v>
      </x:c>
      <x:c r="F6" s="28" t="s">
        <x:v>57</x:v>
      </x:c>
      <x:c r="G6" s="28" t="s">
        <x:v>58</x:v>
      </x:c>
      <x:c r="H6" s="28" t="s">
        <x:v>59</x:v>
      </x:c>
      <x:c r="I6" s="37" t="s">
        <x:v>60</x:v>
      </x:c>
      <x:c r="J6" s="38">
        <x:v>4</x:v>
      </x:c>
      <x:c r="K6" s="28" t="s">
        <x:v>61</x:v>
      </x:c>
      <x:c r="L6" s="37" t="s">
        <x:v>11</x:v>
      </x:c>
      <x:c r="M6" s="28" t="s">
        <x:v>62</x:v>
      </x:c>
      <x:c r="N6" s="28" t="s">
        <x:v>63</x:v>
      </x:c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78" customHeight="1">
      <x:c r="A7" s="35" t="s">
        <x:v>52</x:v>
      </x:c>
      <x:c r="B7" s="29" t="s">
        <x:v>53</x:v>
      </x:c>
      <x:c r="C7" s="29" t="s">
        <x:v>54</x:v>
      </x:c>
      <x:c r="D7" s="35" t="s">
        <x:v>64</x:v>
      </x:c>
      <x:c r="E7" s="29" t="s">
        <x:v>65</x:v>
      </x:c>
      <x:c r="F7" s="29" t="s">
        <x:v>66</x:v>
      </x:c>
      <x:c r="G7" s="29" t="s">
        <x:v>58</x:v>
      </x:c>
      <x:c r="H7" s="29" t="s">
        <x:v>59</x:v>
      </x:c>
      <x:c r="I7" s="39" t="s">
        <x:v>67</x:v>
      </x:c>
      <x:c r="J7" s="40">
        <x:v>6</x:v>
      </x:c>
      <x:c r="K7" s="29" t="s">
        <x:v>55</x:v>
      </x:c>
      <x:c r="L7" s="39" t="s">
        <x:v>11</x:v>
      </x:c>
      <x:c r="M7" s="29" t="s">
        <x:v>68</x:v>
      </x:c>
      <x:c r="N7" s="29" t="s">
        <x:v>69</x:v>
      </x:c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78" customHeight="1">
      <x:c r="A8" s="35" t="s">
        <x:v>52</x:v>
      </x:c>
      <x:c r="B8" s="29" t="s">
        <x:v>53</x:v>
      </x:c>
      <x:c r="C8" s="29" t="s">
        <x:v>54</x:v>
      </x:c>
      <x:c r="D8" s="35" t="s">
        <x:v>70</x:v>
      </x:c>
      <x:c r="E8" s="29" t="s">
        <x:v>71</x:v>
      </x:c>
      <x:c r="F8" s="29" t="s">
        <x:v>72</x:v>
      </x:c>
      <x:c r="G8" s="29" t="s">
        <x:v>58</x:v>
      </x:c>
      <x:c r="H8" s="29" t="s">
        <x:v>73</x:v>
      </x:c>
      <x:c r="I8" s="39" t="s">
        <x:v>67</x:v>
      </x:c>
      <x:c r="J8" s="40">
        <x:v>4</x:v>
      </x:c>
      <x:c r="K8" s="29" t="s">
        <x:v>64</x:v>
      </x:c>
      <x:c r="L8" s="39" t="s">
        <x:v>11</x:v>
      </x:c>
      <x:c r="M8" s="29" t="s">
        <x:v>62</x:v>
      </x:c>
      <x:c r="N8" s="29" t="s">
        <x:v>74</x:v>
      </x:c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78" customHeight="1">
      <x:c r="A9" s="35" t="s">
        <x:v>52</x:v>
      </x:c>
      <x:c r="B9" s="29" t="s">
        <x:v>53</x:v>
      </x:c>
      <x:c r="C9" s="29" t="s">
        <x:v>54</x:v>
      </x:c>
      <x:c r="D9" s="35" t="s">
        <x:v>75</x:v>
      </x:c>
      <x:c r="E9" s="29" t="s">
        <x:v>76</x:v>
      </x:c>
      <x:c r="F9" s="29" t="s">
        <x:v>77</x:v>
      </x:c>
      <x:c r="G9" s="29" t="s">
        <x:v>78</x:v>
      </x:c>
      <x:c r="H9" s="29" t="s">
        <x:v>73</x:v>
      </x:c>
      <x:c r="I9" s="39" t="s">
        <x:v>67</x:v>
      </x:c>
      <x:c r="J9" s="40">
        <x:v>6</x:v>
      </x:c>
      <x:c r="K9" s="29" t="s">
        <x:v>79</x:v>
      </x:c>
      <x:c r="L9" s="39" t="s">
        <x:v>7</x:v>
      </x:c>
      <x:c r="M9" s="29" t="s">
        <x:v>80</x:v>
      </x:c>
      <x:c r="N9" s="29" t="s">
        <x:v>81</x:v>
      </x:c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78" customHeight="1">
      <x:c r="A10" s="35" t="s">
        <x:v>52</x:v>
      </x:c>
      <x:c r="B10" s="29" t="s">
        <x:v>53</x:v>
      </x:c>
      <x:c r="C10" s="29" t="s">
        <x:v>54</x:v>
      </x:c>
      <x:c r="D10" s="35" t="s">
        <x:v>82</x:v>
      </x:c>
      <x:c r="E10" s="29" t="s">
        <x:v>83</x:v>
      </x:c>
      <x:c r="F10" s="29" t="s">
        <x:v>84</x:v>
      </x:c>
      <x:c r="G10" s="29" t="s">
        <x:v>78</x:v>
      </x:c>
      <x:c r="H10" s="29" t="s">
        <x:v>85</x:v>
      </x:c>
      <x:c r="I10" s="39" t="s">
        <x:v>67</x:v>
      </x:c>
      <x:c r="J10" s="40">
        <x:v>5</x:v>
      </x:c>
      <x:c r="K10" s="29" t="s">
        <x:v>75</x:v>
      </x:c>
      <x:c r="L10" s="39" t="s">
        <x:v>7</x:v>
      </x:c>
      <x:c r="M10" s="29" t="s">
        <x:v>86</x:v>
      </x:c>
      <x:c r="N10" s="29" t="s">
        <x:v>87</x:v>
      </x:c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78" customHeight="1">
      <x:c r="A11" s="35" t="s">
        <x:v>52</x:v>
      </x:c>
      <x:c r="B11" s="29" t="s">
        <x:v>53</x:v>
      </x:c>
      <x:c r="C11" s="29" t="s">
        <x:v>54</x:v>
      </x:c>
      <x:c r="D11" s="35" t="s">
        <x:v>88</x:v>
      </x:c>
      <x:c r="E11" s="29" t="s">
        <x:v>89</x:v>
      </x:c>
      <x:c r="F11" s="29" t="s">
        <x:v>90</x:v>
      </x:c>
      <x:c r="G11" s="29" t="s">
        <x:v>91</x:v>
      </x:c>
      <x:c r="H11" s="29" t="s">
        <x:v>92</x:v>
      </x:c>
      <x:c r="I11" s="39" t="s">
        <x:v>67</x:v>
      </x:c>
      <x:c r="J11" s="40">
        <x:v>6</x:v>
      </x:c>
      <x:c r="K11" s="29" t="s">
        <x:v>93</x:v>
      </x:c>
      <x:c r="L11" s="39" t="s">
        <x:v>19</x:v>
      </x:c>
      <x:c r="M11" s="29" t="s">
        <x:v>94</x:v>
      </x:c>
      <x:c r="N11" s="29" t="s">
        <x:v>95</x:v>
      </x:c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78" customHeight="1">
      <x:c r="A12" s="35" t="s">
        <x:v>52</x:v>
      </x:c>
      <x:c r="B12" s="29" t="s">
        <x:v>53</x:v>
      </x:c>
      <x:c r="C12" s="29" t="s">
        <x:v>54</x:v>
      </x:c>
      <x:c r="D12" s="35" t="s">
        <x:v>96</x:v>
      </x:c>
      <x:c r="E12" s="29" t="s">
        <x:v>97</x:v>
      </x:c>
      <x:c r="F12" s="29" t="s">
        <x:v>98</x:v>
      </x:c>
      <x:c r="G12" s="29" t="s">
        <x:v>99</x:v>
      </x:c>
      <x:c r="H12" s="29" t="s">
        <x:v>92</x:v>
      </x:c>
      <x:c r="I12" s="39" t="s">
        <x:v>67</x:v>
      </x:c>
      <x:c r="J12" s="40">
        <x:v>4</x:v>
      </x:c>
      <x:c r="K12" s="29" t="s">
        <x:v>88</x:v>
      </x:c>
      <x:c r="L12" s="39" t="s">
        <x:v>11</x:v>
      </x:c>
      <x:c r="M12" s="29" t="s">
        <x:v>100</x:v>
      </x:c>
      <x:c r="N12" s="29" t="s">
        <x:v>101</x:v>
      </x:c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78" customHeight="1">
      <x:c r="A13" s="35" t="s">
        <x:v>102</x:v>
      </x:c>
      <x:c r="B13" s="29" t="s">
        <x:v>103</x:v>
      </x:c>
      <x:c r="C13" s="29" t="s">
        <x:v>104</x:v>
      </x:c>
      <x:c r="D13" s="35" t="s">
        <x:v>105</x:v>
      </x:c>
      <x:c r="E13" s="29" t="s">
        <x:v>106</x:v>
      </x:c>
      <x:c r="F13" s="29" t="s">
        <x:v>107</x:v>
      </x:c>
      <x:c r="G13" s="29" t="s">
        <x:v>58</x:v>
      </x:c>
      <x:c r="H13" s="29" t="s">
        <x:v>59</x:v>
      </x:c>
      <x:c r="I13" s="39" t="s">
        <x:v>60</x:v>
      </x:c>
      <x:c r="J13" s="40">
        <x:v>4</x:v>
      </x:c>
      <x:c r="K13" s="29" t="s">
        <x:v>61</x:v>
      </x:c>
      <x:c r="L13" s="39" t="s">
        <x:v>11</x:v>
      </x:c>
      <x:c r="M13" s="29" t="s">
        <x:v>108</x:v>
      </x:c>
      <x:c r="N13" s="29" t="s">
        <x:v>63</x:v>
      </x:c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78" customHeight="1">
      <x:c r="A14" s="35" t="s">
        <x:v>102</x:v>
      </x:c>
      <x:c r="B14" s="29" t="s">
        <x:v>103</x:v>
      </x:c>
      <x:c r="C14" s="29" t="s">
        <x:v>104</x:v>
      </x:c>
      <x:c r="D14" s="35" t="s">
        <x:v>109</x:v>
      </x:c>
      <x:c r="E14" s="29" t="s">
        <x:v>110</x:v>
      </x:c>
      <x:c r="F14" s="29" t="s">
        <x:v>111</x:v>
      </x:c>
      <x:c r="G14" s="29" t="s">
        <x:v>58</x:v>
      </x:c>
      <x:c r="H14" s="29" t="s">
        <x:v>59</x:v>
      </x:c>
      <x:c r="I14" s="39" t="s">
        <x:v>67</x:v>
      </x:c>
      <x:c r="J14" s="40">
        <x:v>6</x:v>
      </x:c>
      <x:c r="K14" s="29" t="s">
        <x:v>105</x:v>
      </x:c>
      <x:c r="L14" s="39" t="s">
        <x:v>11</x:v>
      </x:c>
      <x:c r="M14" s="29" t="s">
        <x:v>112</x:v>
      </x:c>
      <x:c r="N14" s="29" t="s">
        <x:v>69</x:v>
      </x:c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78" customHeight="1">
      <x:c r="A15" s="35" t="s">
        <x:v>102</x:v>
      </x:c>
      <x:c r="B15" s="29" t="s">
        <x:v>103</x:v>
      </x:c>
      <x:c r="C15" s="29" t="s">
        <x:v>104</x:v>
      </x:c>
      <x:c r="D15" s="35" t="s">
        <x:v>113</x:v>
      </x:c>
      <x:c r="E15" s="29" t="s">
        <x:v>71</x:v>
      </x:c>
      <x:c r="F15" s="29" t="s">
        <x:v>114</x:v>
      </x:c>
      <x:c r="G15" s="29" t="s">
        <x:v>115</x:v>
      </x:c>
      <x:c r="H15" s="29" t="s">
        <x:v>73</x:v>
      </x:c>
      <x:c r="I15" s="39" t="s">
        <x:v>67</x:v>
      </x:c>
      <x:c r="J15" s="40">
        <x:v>4</x:v>
      </x:c>
      <x:c r="K15" s="29" t="s">
        <x:v>109</x:v>
      </x:c>
      <x:c r="L15" s="39" t="s">
        <x:v>11</x:v>
      </x:c>
      <x:c r="M15" s="29" t="s">
        <x:v>116</x:v>
      </x:c>
      <x:c r="N15" s="29" t="s">
        <x:v>117</x:v>
      </x:c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78" customHeight="1">
      <x:c r="A16" s="35" t="s">
        <x:v>102</x:v>
      </x:c>
      <x:c r="B16" s="29" t="s">
        <x:v>103</x:v>
      </x:c>
      <x:c r="C16" s="29" t="s">
        <x:v>104</x:v>
      </x:c>
      <x:c r="D16" s="35" t="s">
        <x:v>118</x:v>
      </x:c>
      <x:c r="E16" s="29" t="s">
        <x:v>119</x:v>
      </x:c>
      <x:c r="F16" s="29" t="s">
        <x:v>120</x:v>
      </x:c>
      <x:c r="G16" s="29" t="s">
        <x:v>78</x:v>
      </x:c>
      <x:c r="H16" s="29" t="s">
        <x:v>73</x:v>
      </x:c>
      <x:c r="I16" s="39" t="s">
        <x:v>67</x:v>
      </x:c>
      <x:c r="J16" s="40">
        <x:v>6</x:v>
      </x:c>
      <x:c r="K16" s="29" t="s">
        <x:v>113</x:v>
      </x:c>
      <x:c r="L16" s="39" t="s">
        <x:v>7</x:v>
      </x:c>
      <x:c r="M16" s="29" t="s">
        <x:v>80</x:v>
      </x:c>
      <x:c r="N16" s="29" t="s">
        <x:v>121</x:v>
      </x:c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78" customHeight="1">
      <x:c r="A17" s="35" t="s">
        <x:v>102</x:v>
      </x:c>
      <x:c r="B17" s="29" t="s">
        <x:v>103</x:v>
      </x:c>
      <x:c r="C17" s="29" t="s">
        <x:v>104</x:v>
      </x:c>
      <x:c r="D17" s="35" t="s">
        <x:v>122</x:v>
      </x:c>
      <x:c r="E17" s="29" t="s">
        <x:v>123</x:v>
      </x:c>
      <x:c r="F17" s="29" t="s">
        <x:v>124</x:v>
      </x:c>
      <x:c r="G17" s="29" t="s">
        <x:v>125</x:v>
      </x:c>
      <x:c r="H17" s="29" t="s">
        <x:v>126</x:v>
      </x:c>
      <x:c r="I17" s="39" t="s">
        <x:v>67</x:v>
      </x:c>
      <x:c r="J17" s="40">
        <x:v>5</x:v>
      </x:c>
      <x:c r="K17" s="29" t="s">
        <x:v>118</x:v>
      </x:c>
      <x:c r="L17" s="39" t="str">
        <x:v>Completada</x:v>
      </x:c>
      <x:c r="M17" s="29" t="str">
        <x:v>CrowdRadar-Backend/src/models/User.js; CrowdRadar-Backend/src/repositories/UserRepository.js; entrega/evidencias/backend-e2e-postgresql.txt</x:v>
      </x:c>
      <x:c r="N17" s="29" t="str">
        <x:v>Persistencia real verificada en crowdradar_sprint1 mediante registro HTTP y consulta SQL.</x:v>
      </x:c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78" customHeight="1">
      <x:c r="A18" s="35" t="s">
        <x:v>102</x:v>
      </x:c>
      <x:c r="B18" s="29" t="s">
        <x:v>103</x:v>
      </x:c>
      <x:c r="C18" s="29" t="s">
        <x:v>104</x:v>
      </x:c>
      <x:c r="D18" s="35" t="s">
        <x:v>127</x:v>
      </x:c>
      <x:c r="E18" s="29" t="s">
        <x:v>128</x:v>
      </x:c>
      <x:c r="F18" s="29" t="s">
        <x:v>129</x:v>
      </x:c>
      <x:c r="G18" s="29" t="s">
        <x:v>78</x:v>
      </x:c>
      <x:c r="H18" s="29" t="s">
        <x:v>126</x:v>
      </x:c>
      <x:c r="I18" s="39" t="s">
        <x:v>67</x:v>
      </x:c>
      <x:c r="J18" s="40">
        <x:v>4</x:v>
      </x:c>
      <x:c r="K18" s="29" t="s">
        <x:v>118</x:v>
      </x:c>
      <x:c r="L18" s="39" t="s">
        <x:v>7</x:v>
      </x:c>
      <x:c r="M18" s="29" t="s">
        <x:v>130</x:v>
      </x:c>
      <x:c r="N18" s="29" t="s">
        <x:v>131</x:v>
      </x:c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78" customHeight="1">
      <x:c r="A19" s="35" t="s">
        <x:v>102</x:v>
      </x:c>
      <x:c r="B19" s="29" t="s">
        <x:v>103</x:v>
      </x:c>
      <x:c r="C19" s="29" t="s">
        <x:v>104</x:v>
      </x:c>
      <x:c r="D19" s="35" t="s">
        <x:v>132</x:v>
      </x:c>
      <x:c r="E19" s="29" t="s">
        <x:v>133</x:v>
      </x:c>
      <x:c r="F19" s="29" t="s">
        <x:v>134</x:v>
      </x:c>
      <x:c r="G19" s="29" t="s">
        <x:v>99</x:v>
      </x:c>
      <x:c r="H19" s="29" t="s">
        <x:v>135</x:v>
      </x:c>
      <x:c r="I19" s="39" t="s">
        <x:v>67</x:v>
      </x:c>
      <x:c r="J19" s="40">
        <x:v>4</x:v>
      </x:c>
      <x:c r="K19" s="29" t="s">
        <x:v>136</x:v>
      </x:c>
      <x:c r="L19" s="39" t="s">
        <x:v>11</x:v>
      </x:c>
      <x:c r="M19" s="29" t="s">
        <x:v>100</x:v>
      </x:c>
      <x:c r="N19" s="29" t="str">
        <x:v>Backend y persistencia PostgreSQL aprobados; queda pendiente la prueba desde Flutter.</x:v>
      </x:c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78" customHeight="1">
      <x:c r="A20" s="35" t="s">
        <x:v>137</x:v>
      </x:c>
      <x:c r="B20" s="29" t="s">
        <x:v>138</x:v>
      </x:c>
      <x:c r="C20" s="29" t="s">
        <x:v>139</x:v>
      </x:c>
      <x:c r="D20" s="35" t="s">
        <x:v>140</x:v>
      </x:c>
      <x:c r="E20" s="29" t="s">
        <x:v>141</x:v>
      </x:c>
      <x:c r="F20" s="29" t="s">
        <x:v>142</x:v>
      </x:c>
      <x:c r="G20" s="29" t="s">
        <x:v>58</x:v>
      </x:c>
      <x:c r="H20" s="29" t="s">
        <x:v>59</x:v>
      </x:c>
      <x:c r="I20" s="39" t="s">
        <x:v>60</x:v>
      </x:c>
      <x:c r="J20" s="40">
        <x:v>4</x:v>
      </x:c>
      <x:c r="K20" s="29" t="s">
        <x:v>143</x:v>
      </x:c>
      <x:c r="L20" s="39" t="s">
        <x:v>11</x:v>
      </x:c>
      <x:c r="M20" s="29" t="s">
        <x:v>144</x:v>
      </x:c>
      <x:c r="N20" s="29" t="s">
        <x:v>145</x:v>
      </x:c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78" customHeight="1">
      <x:c r="A21" s="35" t="s">
        <x:v>137</x:v>
      </x:c>
      <x:c r="B21" s="29" t="s">
        <x:v>138</x:v>
      </x:c>
      <x:c r="C21" s="29" t="s">
        <x:v>139</x:v>
      </x:c>
      <x:c r="D21" s="35" t="s">
        <x:v>146</x:v>
      </x:c>
      <x:c r="E21" s="29" t="s">
        <x:v>147</x:v>
      </x:c>
      <x:c r="F21" s="29" t="s">
        <x:v>148</x:v>
      </x:c>
      <x:c r="G21" s="29" t="s">
        <x:v>78</x:v>
      </x:c>
      <x:c r="H21" s="29" t="s">
        <x:v>59</x:v>
      </x:c>
      <x:c r="I21" s="39" t="s">
        <x:v>67</x:v>
      </x:c>
      <x:c r="J21" s="40">
        <x:v>5</x:v>
      </x:c>
      <x:c r="K21" s="29" t="s">
        <x:v>143</x:v>
      </x:c>
      <x:c r="L21" s="39" t="s">
        <x:v>7</x:v>
      </x:c>
      <x:c r="M21" s="29" t="s">
        <x:v>149</x:v>
      </x:c>
      <x:c r="N21" s="29" t="s">
        <x:v>150</x:v>
      </x:c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78" customHeight="1">
      <x:c r="A22" s="35" t="s">
        <x:v>137</x:v>
      </x:c>
      <x:c r="B22" s="29" t="s">
        <x:v>138</x:v>
      </x:c>
      <x:c r="C22" s="29" t="s">
        <x:v>139</x:v>
      </x:c>
      <x:c r="D22" s="35" t="s">
        <x:v>151</x:v>
      </x:c>
      <x:c r="E22" s="29" t="s">
        <x:v>152</x:v>
      </x:c>
      <x:c r="F22" s="29" t="s">
        <x:v>153</x:v>
      </x:c>
      <x:c r="G22" s="29" t="s">
        <x:v>78</x:v>
      </x:c>
      <x:c r="H22" s="29" t="s">
        <x:v>154</x:v>
      </x:c>
      <x:c r="I22" s="39" t="s">
        <x:v>67</x:v>
      </x:c>
      <x:c r="J22" s="40">
        <x:v>5</x:v>
      </x:c>
      <x:c r="K22" s="29" t="s">
        <x:v>146</x:v>
      </x:c>
      <x:c r="L22" s="39" t="s">
        <x:v>7</x:v>
      </x:c>
      <x:c r="M22" s="29" t="s">
        <x:v>155</x:v>
      </x:c>
      <x:c r="N22" s="29" t="s">
        <x:v>156</x:v>
      </x:c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78" customHeight="1">
      <x:c r="A23" s="35" t="s">
        <x:v>137</x:v>
      </x:c>
      <x:c r="B23" s="29" t="s">
        <x:v>138</x:v>
      </x:c>
      <x:c r="C23" s="29" t="s">
        <x:v>139</x:v>
      </x:c>
      <x:c r="D23" s="35" t="s">
        <x:v>157</x:v>
      </x:c>
      <x:c r="E23" s="29" t="s">
        <x:v>158</x:v>
      </x:c>
      <x:c r="F23" s="29" t="s">
        <x:v>159</x:v>
      </x:c>
      <x:c r="G23" s="29" t="s">
        <x:v>58</x:v>
      </x:c>
      <x:c r="H23" s="29" t="s">
        <x:v>154</x:v>
      </x:c>
      <x:c r="I23" s="39" t="s">
        <x:v>60</x:v>
      </x:c>
      <x:c r="J23" s="40">
        <x:v>5</x:v>
      </x:c>
      <x:c r="K23" s="29" t="s">
        <x:v>160</x:v>
      </x:c>
      <x:c r="L23" s="39" t="s">
        <x:v>11</x:v>
      </x:c>
      <x:c r="M23" s="29" t="s">
        <x:v>144</x:v>
      </x:c>
      <x:c r="N23" s="29" t="s">
        <x:v>161</x:v>
      </x:c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78" customHeight="1">
      <x:c r="A24" s="35" t="s">
        <x:v>137</x:v>
      </x:c>
      <x:c r="B24" s="29" t="s">
        <x:v>138</x:v>
      </x:c>
      <x:c r="C24" s="29" t="s">
        <x:v>139</x:v>
      </x:c>
      <x:c r="D24" s="35" t="s">
        <x:v>162</x:v>
      </x:c>
      <x:c r="E24" s="29" t="s">
        <x:v>163</x:v>
      </x:c>
      <x:c r="F24" s="29" t="s">
        <x:v>164</x:v>
      </x:c>
      <x:c r="G24" s="29" t="s">
        <x:v>115</x:v>
      </x:c>
      <x:c r="H24" s="29" t="s">
        <x:v>126</x:v>
      </x:c>
      <x:c r="I24" s="39" t="s">
        <x:v>60</x:v>
      </x:c>
      <x:c r="J24" s="40">
        <x:v>3</x:v>
      </x:c>
      <x:c r="K24" s="29" t="s">
        <x:v>146</x:v>
      </x:c>
      <x:c r="L24" s="39" t="s">
        <x:v>11</x:v>
      </x:c>
      <x:c r="M24" s="29" t="s">
        <x:v>165</x:v>
      </x:c>
      <x:c r="N24" s="29" t="s">
        <x:v>166</x:v>
      </x:c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78" customHeight="1">
      <x:c r="A25" s="35" t="s">
        <x:v>137</x:v>
      </x:c>
      <x:c r="B25" s="29" t="s">
        <x:v>138</x:v>
      </x:c>
      <x:c r="C25" s="29" t="s">
        <x:v>139</x:v>
      </x:c>
      <x:c r="D25" s="35" t="s">
        <x:v>167</x:v>
      </x:c>
      <x:c r="E25" s="29" t="s">
        <x:v>89</x:v>
      </x:c>
      <x:c r="F25" s="29" t="s">
        <x:v>168</x:v>
      </x:c>
      <x:c r="G25" s="29" t="s">
        <x:v>91</x:v>
      </x:c>
      <x:c r="H25" s="29" t="s">
        <x:v>135</x:v>
      </x:c>
      <x:c r="I25" s="39" t="s">
        <x:v>67</x:v>
      </x:c>
      <x:c r="J25" s="40">
        <x:v>5</x:v>
      </x:c>
      <x:c r="K25" s="29" t="s">
        <x:v>169</x:v>
      </x:c>
      <x:c r="L25" s="39" t="s">
        <x:v>19</x:v>
      </x:c>
      <x:c r="M25" s="29" t="s">
        <x:v>170</x:v>
      </x:c>
      <x:c r="N25" s="29" t="str">
        <x:v>Integración API-backend-PostgreSQL aprobada; falta ejecutar el cliente Flutter/Android.</x:v>
      </x:c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78" customHeight="1">
      <x:c r="A26" s="35" t="s">
        <x:v>137</x:v>
      </x:c>
      <x:c r="B26" s="29" t="s">
        <x:v>138</x:v>
      </x:c>
      <x:c r="C26" s="29" t="s">
        <x:v>139</x:v>
      </x:c>
      <x:c r="D26" s="35" t="s">
        <x:v>171</x:v>
      </x:c>
      <x:c r="E26" s="29" t="s">
        <x:v>172</x:v>
      </x:c>
      <x:c r="F26" s="29" t="s">
        <x:v>173</x:v>
      </x:c>
      <x:c r="G26" s="29" t="s">
        <x:v>99</x:v>
      </x:c>
      <x:c r="H26" s="29" t="s">
        <x:v>135</x:v>
      </x:c>
      <x:c r="I26" s="39" t="s">
        <x:v>67</x:v>
      </x:c>
      <x:c r="J26" s="40">
        <x:v>4</x:v>
      </x:c>
      <x:c r="K26" s="29" t="s">
        <x:v>167</x:v>
      </x:c>
      <x:c r="L26" s="39" t="s">
        <x:v>11</x:v>
      </x:c>
      <x:c r="M26" s="29" t="s">
        <x:v>100</x:v>
      </x:c>
      <x:c r="N26" s="29" t="str">
        <x:v>Consulta backend y recuperación desde PostgreSQL aprobadas; presentación Flutter pendiente.</x:v>
      </x:c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78" customHeight="1">
      <x:c r="A27" s="35" t="s">
        <x:v>174</x:v>
      </x:c>
      <x:c r="B27" s="29" t="s">
        <x:v>175</x:v>
      </x:c>
      <x:c r="C27" s="29" t="s">
        <x:v>176</x:v>
      </x:c>
      <x:c r="D27" s="35" t="s">
        <x:v>177</x:v>
      </x:c>
      <x:c r="E27" s="29" t="s">
        <x:v>178</x:v>
      </x:c>
      <x:c r="F27" s="29" t="s">
        <x:v>179</x:v>
      </x:c>
      <x:c r="G27" s="29" t="s">
        <x:v>58</x:v>
      </x:c>
      <x:c r="H27" s="29" t="s">
        <x:v>59</x:v>
      </x:c>
      <x:c r="I27" s="39" t="s">
        <x:v>60</x:v>
      </x:c>
      <x:c r="J27" s="40">
        <x:v>4</x:v>
      </x:c>
      <x:c r="K27" s="29" t="s">
        <x:v>180</x:v>
      </x:c>
      <x:c r="L27" s="39" t="s">
        <x:v>11</x:v>
      </x:c>
      <x:c r="M27" s="29" t="s">
        <x:v>181</x:v>
      </x:c>
      <x:c r="N27" s="29" t="s">
        <x:v>145</x:v>
      </x:c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78" customHeight="1">
      <x:c r="A28" s="35" t="s">
        <x:v>174</x:v>
      </x:c>
      <x:c r="B28" s="29" t="s">
        <x:v>175</x:v>
      </x:c>
      <x:c r="C28" s="29" t="s">
        <x:v>176</x:v>
      </x:c>
      <x:c r="D28" s="35" t="s">
        <x:v>182</x:v>
      </x:c>
      <x:c r="E28" s="29" t="s">
        <x:v>183</x:v>
      </x:c>
      <x:c r="F28" s="29" t="s">
        <x:v>184</x:v>
      </x:c>
      <x:c r="G28" s="29" t="s">
        <x:v>58</x:v>
      </x:c>
      <x:c r="H28" s="29" t="s">
        <x:v>154</x:v>
      </x:c>
      <x:c r="I28" s="39" t="s">
        <x:v>67</x:v>
      </x:c>
      <x:c r="J28" s="40">
        <x:v>5</x:v>
      </x:c>
      <x:c r="K28" s="29" t="s">
        <x:v>177</x:v>
      </x:c>
      <x:c r="L28" s="39" t="s">
        <x:v>11</x:v>
      </x:c>
      <x:c r="M28" s="29" t="s">
        <x:v>181</x:v>
      </x:c>
      <x:c r="N28" s="29" t="s">
        <x:v>69</x:v>
      </x:c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78" customHeight="1">
      <x:c r="A29" s="35" t="s">
        <x:v>174</x:v>
      </x:c>
      <x:c r="B29" s="29" t="s">
        <x:v>175</x:v>
      </x:c>
      <x:c r="C29" s="29" t="s">
        <x:v>176</x:v>
      </x:c>
      <x:c r="D29" s="35" t="s">
        <x:v>185</x:v>
      </x:c>
      <x:c r="E29" s="29" t="s">
        <x:v>186</x:v>
      </x:c>
      <x:c r="F29" s="29" t="s">
        <x:v>187</x:v>
      </x:c>
      <x:c r="G29" s="29" t="s">
        <x:v>115</x:v>
      </x:c>
      <x:c r="H29" s="29" t="s">
        <x:v>73</x:v>
      </x:c>
      <x:c r="I29" s="39" t="s">
        <x:v>67</x:v>
      </x:c>
      <x:c r="J29" s="40">
        <x:v>4</x:v>
      </x:c>
      <x:c r="K29" s="29" t="s">
        <x:v>182</x:v>
      </x:c>
      <x:c r="L29" s="39" t="s">
        <x:v>11</x:v>
      </x:c>
      <x:c r="M29" s="29" t="s">
        <x:v>188</x:v>
      </x:c>
      <x:c r="N29" s="29" t="s">
        <x:v>189</x:v>
      </x:c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78" customHeight="1">
      <x:c r="A30" s="35" t="s">
        <x:v>174</x:v>
      </x:c>
      <x:c r="B30" s="29" t="s">
        <x:v>175</x:v>
      </x:c>
      <x:c r="C30" s="29" t="s">
        <x:v>176</x:v>
      </x:c>
      <x:c r="D30" s="35" t="s">
        <x:v>190</x:v>
      </x:c>
      <x:c r="E30" s="29" t="s">
        <x:v>191</x:v>
      </x:c>
      <x:c r="F30" s="29" t="s">
        <x:v>192</x:v>
      </x:c>
      <x:c r="G30" s="29" t="s">
        <x:v>78</x:v>
      </x:c>
      <x:c r="H30" s="29" t="s">
        <x:v>85</x:v>
      </x:c>
      <x:c r="I30" s="39" t="s">
        <x:v>67</x:v>
      </x:c>
      <x:c r="J30" s="40">
        <x:v>6</x:v>
      </x:c>
      <x:c r="K30" s="29" t="s">
        <x:v>185</x:v>
      </x:c>
      <x:c r="L30" s="39" t="s">
        <x:v>7</x:v>
      </x:c>
      <x:c r="M30" s="29" t="s">
        <x:v>149</x:v>
      </x:c>
      <x:c r="N30" s="29" t="s">
        <x:v>193</x:v>
      </x:c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78" customHeight="1">
      <x:c r="A31" s="35" t="s">
        <x:v>174</x:v>
      </x:c>
      <x:c r="B31" s="29" t="s">
        <x:v>175</x:v>
      </x:c>
      <x:c r="C31" s="29" t="s">
        <x:v>176</x:v>
      </x:c>
      <x:c r="D31" s="35" t="s">
        <x:v>194</x:v>
      </x:c>
      <x:c r="E31" s="29" t="s">
        <x:v>195</x:v>
      </x:c>
      <x:c r="F31" s="29" t="s">
        <x:v>196</x:v>
      </x:c>
      <x:c r="G31" s="29" t="s">
        <x:v>125</x:v>
      </x:c>
      <x:c r="H31" s="29" t="s">
        <x:v>154</x:v>
      </x:c>
      <x:c r="I31" s="39" t="s">
        <x:v>67</x:v>
      </x:c>
      <x:c r="J31" s="40">
        <x:v>5</x:v>
      </x:c>
      <x:c r="K31" s="29" t="s">
        <x:v>190</x:v>
      </x:c>
      <x:c r="L31" s="39" t="str">
        <x:v>Completada</x:v>
      </x:c>
      <x:c r="M31" s="29" t="str">
        <x:v>CrowdRadar-Backend/src/models/User.js; CrowdRadar-Backend/src/repositories/UserRepository.js; entrega/evidencias/backend-e2e-postgresql.txt</x:v>
      </x:c>
      <x:c r="N31" s="29" t="str">
        <x:v>Actualización persistida y comprobada con una consulta posterior y lectura SQL en crowdradar_sprint1.</x:v>
      </x:c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78" customHeight="1">
      <x:c r="A32" s="35" t="s">
        <x:v>174</x:v>
      </x:c>
      <x:c r="B32" s="29" t="s">
        <x:v>175</x:v>
      </x:c>
      <x:c r="C32" s="29" t="s">
        <x:v>176</x:v>
      </x:c>
      <x:c r="D32" s="35" t="s">
        <x:v>197</x:v>
      </x:c>
      <x:c r="E32" s="29" t="s">
        <x:v>89</x:v>
      </x:c>
      <x:c r="F32" s="29" t="s">
        <x:v>198</x:v>
      </x:c>
      <x:c r="G32" s="29" t="s">
        <x:v>91</x:v>
      </x:c>
      <x:c r="H32" s="29" t="s">
        <x:v>199</x:v>
      </x:c>
      <x:c r="I32" s="39" t="s">
        <x:v>67</x:v>
      </x:c>
      <x:c r="J32" s="40">
        <x:v>5</x:v>
      </x:c>
      <x:c r="K32" s="29" t="s">
        <x:v>200</x:v>
      </x:c>
      <x:c r="L32" s="39" t="s">
        <x:v>19</x:v>
      </x:c>
      <x:c r="M32" s="29" t="s">
        <x:v>170</x:v>
      </x:c>
      <x:c r="N32" s="29" t="str">
        <x:v>Integración API-backend-PostgreSQL aprobada; falta ejecutar el cliente Flutter/Android.</x:v>
      </x:c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78" customHeight="1">
      <x:c r="A33" s="36" t="s">
        <x:v>174</x:v>
      </x:c>
      <x:c r="B33" s="30" t="s">
        <x:v>175</x:v>
      </x:c>
      <x:c r="C33" s="30" t="s">
        <x:v>176</x:v>
      </x:c>
      <x:c r="D33" s="36" t="s">
        <x:v>201</x:v>
      </x:c>
      <x:c r="E33" s="30" t="s">
        <x:v>202</x:v>
      </x:c>
      <x:c r="F33" s="30" t="s">
        <x:v>203</x:v>
      </x:c>
      <x:c r="G33" s="30" t="s">
        <x:v>99</x:v>
      </x:c>
      <x:c r="H33" s="30" t="s">
        <x:v>92</x:v>
      </x:c>
      <x:c r="I33" s="41" t="s">
        <x:v>67</x:v>
      </x:c>
      <x:c r="J33" s="42">
        <x:v>4</x:v>
      </x:c>
      <x:c r="K33" s="30" t="s">
        <x:v>197</x:v>
      </x:c>
      <x:c r="L33" s="41" t="s">
        <x:v>11</x:v>
      </x:c>
      <x:c r="M33" s="30" t="s">
        <x:v>100</x:v>
      </x:c>
      <x:c r="N33" s="30" t="str">
        <x:v>Actualización y persistencia PostgreSQL aprobadas; recorrido Flutter pendiente.</x:v>
      </x:c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conditionalFormatting sqref="L6:L33">
    <x:cfRule type="containsText" dxfId="6" priority="1" operator="containsText" text="Completada"/>
    <x:cfRule type="containsText" dxfId="5" priority="2" operator="containsText" text="En revisión"/>
    <x:cfRule type="containsText" dxfId="4" priority="3" operator="containsText" text="Pendiente"/>
    <x:cfRule type="containsText" dxfId="3" priority="4" operator="containsText" text="Bloqueada"/>
  </x:conditionalFormatting>
  <x:dataValidations count="2">
    <x:dataValidation type="list" sqref="L6:L33">
      <x:formula1>"Completada,En revisión,Pendiente,Bloqueada"</x:formula1>
    </x:dataValidation>
    <x:dataValidation type="list" sqref="I6:I33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750bf330ee417f"/>
  </x:tableParts>
</x:worksheet>
</file>

<file path=xl/worksheets/sheet3.xml><?xml version="1.0" encoding="utf-8"?>
<x:worksheet xmlns:x="http://schemas.openxmlformats.org/spreadsheetml/2006/main">
  <x:sheetPr>
    <x:tabColor rgb="FF5B7FA3"/>
  </x:sheetPr>
  <x:sheetViews>
    <x:sheetView showGridLines="0" workbookViewId="0">
      <x:pane ySplit="5" topLeftCell="A6" activePane="bottomLeft" state="frozen"/>
    </x:sheetView>
  </x:sheetViews>
  <x:sheetFormatPr baseColWidth="10" defaultColWidth="8.796875" defaultRowHeight="13.800000190734863"/>
  <x:cols>
    <x:col min="1" max="1" width="12" customWidth="1"/>
    <x:col min="2" max="2" width="31" customWidth="1"/>
    <x:col min="3" max="3" width="49" customWidth="1"/>
    <x:col min="4" max="4" width="55" customWidth="1"/>
    <x:col min="5" max="5" width="15" customWidth="1"/>
    <x:col min="6" max="6" width="55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1">
      <x:c r="A2" s="3" t="s">
        <x:v>204</x:v>
      </x:c>
      <x:c r="B2" s="2"/>
      <x:c r="C2" s="2"/>
      <x:c r="D2" s="2"/>
      <x:c r="E2" s="2"/>
      <x:c r="F2" s="2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26" t="s">
        <x:v>205</x:v>
      </x:c>
      <x:c r="B3" s="26"/>
      <x:c r="C3" s="26"/>
      <x:c r="D3" s="26"/>
      <x:c r="E3" s="26"/>
      <x:c r="F3" s="26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40.04999923706055" customHeight="1">
      <x:c r="A5" s="27" t="s">
        <x:v>206</x:v>
      </x:c>
      <x:c r="B5" s="27" t="s">
        <x:v>207</x:v>
      </x:c>
      <x:c r="C5" s="27" t="s">
        <x:v>208</x:v>
      </x:c>
      <x:c r="D5" s="27" t="s">
        <x:v>209</x:v>
      </x:c>
      <x:c r="E5" s="27" t="s">
        <x:v>49</x:v>
      </x:c>
      <x:c r="F5" s="27" t="s">
        <x:v>210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61.95000076293945" customHeight="1">
      <x:c r="A6" s="31" t="s">
        <x:v>211</x:v>
      </x:c>
      <x:c r="B6" s="28" t="s">
        <x:v>212</x:v>
      </x:c>
      <x:c r="C6" s="28" t="s">
        <x:v>213</x:v>
      </x:c>
      <x:c r="D6" s="28" t="s">
        <x:v>214</x:v>
      </x:c>
      <x:c r="E6" s="37" t="s">
        <x:v>215</x:v>
      </x:c>
      <x:c r="F6" s="28" t="s">
        <x:v>216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61.95000076293945" customHeight="1">
      <x:c r="A7" s="32" t="s">
        <x:v>211</x:v>
      </x:c>
      <x:c r="B7" s="29" t="s">
        <x:v>217</x:v>
      </x:c>
      <x:c r="C7" s="29" t="s">
        <x:v>218</x:v>
      </x:c>
      <x:c r="D7" s="29" t="str">
        <x:v>Conexión confirmada a crowdradar_sprint1; Sequelize creó public.users con 11 columnas.</x:v>
      </x:c>
      <x:c r="E7" s="39" t="str">
        <x:v>Aprobada</x:v>
      </x:c>
      <x:c r="F7" s="29" t="str">
        <x:v>entrega/evidencias/backend-e2e-postgresql.txt; entrega/EVIDENCIAS_SPRINT_1.md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61.95000076293945" customHeight="1">
      <x:c r="A8" s="32" t="s">
        <x:v>211</x:v>
      </x:c>
      <x:c r="B8" s="29" t="s">
        <x:v>219</x:v>
      </x:c>
      <x:c r="C8" s="29" t="s">
        <x:v>220</x:v>
      </x:c>
      <x:c r="D8" s="29" t="str">
        <x:v>Backend iniciado en el puerto 3000; GET / respondió HTTP 200.</x:v>
      </x:c>
      <x:c r="E8" s="39" t="str">
        <x:v>Aprobada</x:v>
      </x:c>
      <x:c r="F8" s="29" t="str">
        <x:v>CrowdRadar-Backend/app.js; entrega/evidencias/backend-e2e-postgresql.txt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61.95000076293945" customHeight="1">
      <x:c r="A9" s="32" t="s">
        <x:v>102</x:v>
      </x:c>
      <x:c r="B9" s="29" t="s">
        <x:v>221</x:v>
      </x:c>
      <x:c r="C9" s="29" t="s">
        <x:v>222</x:v>
      </x:c>
      <x:c r="D9" s="29" t="str">
        <x:v>Prueba real aprobada en PostgreSQL; HTTP 201, hash bcrypt de 60 caracteres y correo persistido.</x:v>
      </x:c>
      <x:c r="E9" s="39" t="str">
        <x:v>Aprobada</x:v>
      </x:c>
      <x:c r="F9" s="29" t="str">
        <x:v>entrega/evidencias/backend-e2e-postgresql.txt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61.95000076293945" customHeight="1">
      <x:c r="A10" s="32" t="s">
        <x:v>52</x:v>
      </x:c>
      <x:c r="B10" s="29" t="s">
        <x:v>223</x:v>
      </x:c>
      <x:c r="C10" s="29" t="s">
        <x:v>224</x:v>
      </x:c>
      <x:c r="D10" s="29" t="str">
        <x:v>Prueba real aprobada; HTTP 200 y JWT recibido para el usuario persistido.</x:v>
      </x:c>
      <x:c r="E10" s="39" t="str">
        <x:v>Aprobada</x:v>
      </x:c>
      <x:c r="F10" s="29" t="str">
        <x:v>entrega/evidencias/backend-e2e-postgresql.txt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61.95000076293945" customHeight="1">
      <x:c r="A11" s="32" t="s">
        <x:v>137</x:v>
      </x:c>
      <x:c r="B11" s="29" t="s">
        <x:v>225</x:v>
      </x:c>
      <x:c r="C11" s="29" t="s">
        <x:v>226</x:v>
      </x:c>
      <x:c r="D11" s="29" t="str">
        <x:v>Prueba real aprobada; HTTP 200 con datos recuperados desde PostgreSQL.</x:v>
      </x:c>
      <x:c r="E11" s="39" t="str">
        <x:v>Aprobada</x:v>
      </x:c>
      <x:c r="F11" s="29" t="str">
        <x:v>entrega/evidencias/backend-e2e-postgresql.txt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61.95000076293945" customHeight="1">
      <x:c r="A12" s="32" t="s">
        <x:v>174</x:v>
      </x:c>
      <x:c r="B12" s="29" t="s">
        <x:v>227</x:v>
      </x:c>
      <x:c r="C12" s="29" t="s">
        <x:v>228</x:v>
      </x:c>
      <x:c r="D12" s="29" t="str">
        <x:v>Prueba real aprobada; PUT 200 y consulta posterior muestran nombre, teléfono y distrito actualizados.</x:v>
      </x:c>
      <x:c r="E12" s="39" t="str">
        <x:v>Aprobada</x:v>
      </x:c>
      <x:c r="F12" s="29" t="str">
        <x:v>entrega/evidencias/backend-e2e-postgresql.txt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61.95000076293945" customHeight="1">
      <x:c r="A13" s="32" t="s">
        <x:v>52</x:v>
      </x:c>
      <x:c r="B13" s="29" t="s">
        <x:v>229</x:v>
      </x:c>
      <x:c r="C13" s="29" t="s">
        <x:v>230</x:v>
      </x:c>
      <x:c r="D13" s="29" t="s">
        <x:v>231</x:v>
      </x:c>
      <x:c r="E13" s="39" t="s">
        <x:v>19</x:v>
      </x:c>
      <x:c r="F13" s="29" t="s">
        <x:v>68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61.95000076293945" customHeight="1">
      <x:c r="A14" s="32" t="s">
        <x:v>102</x:v>
      </x:c>
      <x:c r="B14" s="29" t="s">
        <x:v>232</x:v>
      </x:c>
      <x:c r="C14" s="29" t="s">
        <x:v>230</x:v>
      </x:c>
      <x:c r="D14" s="29" t="s">
        <x:v>231</x:v>
      </x:c>
      <x:c r="E14" s="39" t="s">
        <x:v>19</x:v>
      </x:c>
      <x:c r="F14" s="29" t="s">
        <x:v>112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61.95000076293945" customHeight="1">
      <x:c r="A15" s="32" t="s">
        <x:v>137</x:v>
      </x:c>
      <x:c r="B15" s="29" t="s">
        <x:v>233</x:v>
      </x:c>
      <x:c r="C15" s="29" t="s">
        <x:v>234</x:v>
      </x:c>
      <x:c r="D15" s="29" t="s">
        <x:v>235</x:v>
      </x:c>
      <x:c r="E15" s="39" t="s">
        <x:v>19</x:v>
      </x:c>
      <x:c r="F15" s="29" t="s">
        <x:v>236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61.95000076293945" customHeight="1">
      <x:c r="A16" s="32" t="s">
        <x:v>174</x:v>
      </x:c>
      <x:c r="B16" s="29" t="s">
        <x:v>237</x:v>
      </x:c>
      <x:c r="C16" s="29" t="s">
        <x:v>238</x:v>
      </x:c>
      <x:c r="D16" s="29" t="str">
        <x:v>Persistencia PostgreSQL aprobada mediante API y lectura SQL; falta ejecutar la edición desde Flutter/Android.</x:v>
      </x:c>
      <x:c r="E16" s="39" t="str">
        <x:v>Bloqueada</x:v>
      </x:c>
      <x:c r="F16" s="29" t="str">
        <x:v>CrowdRadar-FrontEnd/lib/pages/profile/edit_profile_page.dart; entrega/evidencias/backend-e2e-postgresql.txt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61.95000076293945" customHeight="1">
      <x:c r="A17" s="33" t="s">
        <x:v>211</x:v>
      </x:c>
      <x:c r="B17" s="30" t="s">
        <x:v>239</x:v>
      </x:c>
      <x:c r="C17" s="30" t="s">
        <x:v>240</x:v>
      </x:c>
      <x:c r="D17" s="30" t="str">
        <x:v>Flujo API-backend-PostgreSQL aprobado. Sigue pendiente el recorrido desde Android porque Flutter/SDK no están instalados.</x:v>
      </x:c>
      <x:c r="E17" s="41" t="str">
        <x:v>Bloqueada</x:v>
      </x:c>
      <x:c r="F17" s="30" t="str">
        <x:v>entrega/evidencias/backend-e2e-postgresql.txt; entrega/EVIDENCIAS_SPRINT_1.md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conditionalFormatting sqref="E6:E17">
    <x:cfRule type="containsText" dxfId="2" priority="1" operator="containsText" text="Aprobada"/>
    <x:cfRule type="containsText" dxfId="1" priority="2" operator="containsText" text="En revisión"/>
    <x:cfRule type="containsText" dxfId="0" priority="3" operator="containsText" text="Bloqueada"/>
  </x:conditionalFormatting>
  <x:pageMargins left="0.7" right="0.7" top="0.75" bottom="0.75" header="0.3" footer="0.3"/>
  <x:tableParts count="1">
    <x:tablePart xmlns:r="http://schemas.openxmlformats.org/officeDocument/2006/relationships" r:id="R93c89703074e4b49"/>
  </x:tableParts>
</x:worksheet>
</file>